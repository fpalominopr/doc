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42546\Downloads\"/>
    </mc:Choice>
  </mc:AlternateContent>
  <bookViews>
    <workbookView xWindow="-120" yWindow="-120" windowWidth="20730" windowHeight="11160" xr2:uid="{788D2038-03FC-43E1-A9C8-A6B65FA853F7}"/>
  </bookViews>
  <sheets>
    <sheet name="Formato Aprov. Cloud" sheetId="3" r:id="rId1"/>
    <sheet name="V1.0_Original" sheetId="1" state="hidden" r:id="rId2"/>
  </sheets>
  <definedNames>
    <definedName name="_xlnm._FilterDatabase" localSheetId="0" hidden="1">'Formato Aprov. Cloud'!$C$14:$O$15</definedName>
    <definedName name="_xlnm._FilterDatabase" localSheetId="1" hidden="1">'V1.0_Original'!$C$14:$AA$16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3" l="1"/>
  <c r="L40" i="3"/>
  <c r="AH10" i="3"/>
  <c r="L16" i="3" s="1"/>
  <c r="L17" i="3" l="1"/>
  <c r="L24" i="3" l="1"/>
  <c r="L35" i="3"/>
  <c r="L32" i="3"/>
  <c r="L39" i="3"/>
  <c r="L31" i="3"/>
  <c r="L23" i="3"/>
  <c r="L29" i="3"/>
  <c r="L36" i="3"/>
  <c r="L27" i="3"/>
  <c r="L38" i="3"/>
  <c r="L30" i="3"/>
  <c r="L22" i="3"/>
  <c r="L21" i="3"/>
  <c r="L20" i="3"/>
  <c r="L37" i="3"/>
  <c r="L28" i="3"/>
  <c r="L19" i="3"/>
  <c r="L34" i="3"/>
  <c r="L26" i="3"/>
  <c r="L18" i="3"/>
  <c r="L33" i="3"/>
  <c r="L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Garcia Cruz, Adderly Joel</author>
    <author>Manu</author>
  </authors>
  <commentList>
    <comment ref="J6" authorId="0" shapeId="0" xr:uid="{5CD92826-F516-411C-80F2-6C7B56755BDA}">
      <text>
        <r>
          <rPr>
            <b/>
            <sz val="8"/>
            <color indexed="81"/>
            <rFont val="Tahoma"/>
            <family val="2"/>
          </rPr>
          <t>Nombre del Líder del proyecto</t>
        </r>
      </text>
    </comment>
    <comment ref="G7" authorId="0" shapeId="0" xr:uid="{84E4A8AF-D99D-4E42-89D6-6FB536FC1290}">
      <text>
        <r>
          <rPr>
            <b/>
            <sz val="8"/>
            <color indexed="81"/>
            <rFont val="Tahoma"/>
            <family val="2"/>
          </rPr>
          <t>Solo aplica para Proyecto Nuevo</t>
        </r>
      </text>
    </comment>
    <comment ref="J7" authorId="0" shapeId="0" xr:uid="{A109CD11-C869-4154-9808-3F5880ED7632}">
      <text>
        <r>
          <rPr>
            <b/>
            <sz val="8"/>
            <color indexed="81"/>
            <rFont val="Tahoma"/>
            <family val="2"/>
          </rPr>
          <t>Nombre del Arquitecto asignado (Solucion?)</t>
        </r>
      </text>
    </comment>
    <comment ref="L7" authorId="0" shapeId="0" xr:uid="{9940FE94-0E73-4BBD-8E22-865AD473AEBD}">
      <text>
        <r>
          <rPr>
            <b/>
            <sz val="9"/>
            <color indexed="81"/>
            <rFont val="Tahoma"/>
            <family val="2"/>
          </rPr>
          <t>Indicar si es Gasto de Proyecto (Capex) u OPEX</t>
        </r>
      </text>
    </comment>
    <comment ref="G9" authorId="0" shapeId="0" xr:uid="{B415C719-46A9-4394-8A1B-DFC1A3658459}">
      <text>
        <r>
          <rPr>
            <b/>
            <sz val="9"/>
            <color indexed="81"/>
            <rFont val="Tahoma"/>
            <family val="2"/>
          </rPr>
          <t>Solo llenar si es Proyecto Nuevo</t>
        </r>
      </text>
    </comment>
    <comment ref="G10" authorId="0" shapeId="0" xr:uid="{DDDDE85A-084A-407F-A4FA-A4E59EE90375}">
      <text>
        <r>
          <rPr>
            <b/>
            <sz val="9"/>
            <color indexed="81"/>
            <rFont val="Tahoma"/>
            <family val="2"/>
          </rPr>
          <t>Solo llenar si es Crecimiento / Ampliación</t>
        </r>
      </text>
    </comment>
    <comment ref="L10" authorId="0" shapeId="0" xr:uid="{C3833D94-07A2-493A-96B1-0E02FD161EDE}">
      <text>
        <r>
          <rPr>
            <b/>
            <sz val="9"/>
            <color indexed="81"/>
            <rFont val="Tahoma"/>
            <family val="2"/>
          </rPr>
          <t>Costo total de la cotización</t>
        </r>
      </text>
    </comment>
    <comment ref="D15" authorId="0" shapeId="0" xr:uid="{0473CDF9-CA52-4D9D-A918-2A22BBEF0CCB}">
      <text>
        <r>
          <rPr>
            <sz val="9"/>
            <color indexed="81"/>
            <rFont val="Tahoma"/>
            <family val="2"/>
          </rPr>
          <t>Suscrip = Azure
Proyect = GCP
Cuenta = AWS</t>
        </r>
      </text>
    </comment>
    <comment ref="F15" authorId="1" shapeId="0" xr:uid="{DEBAC95A-8F65-40D3-8250-55DEDF8FAE33}">
      <text>
        <r>
          <rPr>
            <sz val="9"/>
            <color indexed="81"/>
            <rFont val="Tahoma"/>
            <family val="2"/>
          </rPr>
          <t>Nombre del componente tal como será creado en nube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I15" authorId="0" shapeId="0" xr:uid="{5797749C-38B5-458A-B9C8-13FFAE23EB28}">
      <text>
        <r>
          <rPr>
            <b/>
            <sz val="9"/>
            <color indexed="81"/>
            <rFont val="Tahoma"/>
            <family val="2"/>
          </rPr>
          <t>De acuerdo a lo cotizado previamente</t>
        </r>
      </text>
    </comment>
    <comment ref="J15" authorId="0" shapeId="0" xr:uid="{029710FB-4319-4234-BCE2-02428EDC7A09}">
      <text>
        <r>
          <rPr>
            <b/>
            <sz val="8"/>
            <color indexed="81"/>
            <rFont val="Tahoma"/>
            <family val="2"/>
          </rPr>
          <t xml:space="preserve"> De acuerdo al catálogo de aplicaciones IBK</t>
        </r>
      </text>
    </comment>
    <comment ref="L15" authorId="0" shapeId="0" xr:uid="{4EFE6217-4062-499B-A8F8-FAF960F9CB4D}">
      <text>
        <r>
          <rPr>
            <b/>
            <sz val="9"/>
            <color indexed="81"/>
            <rFont val="Tahoma"/>
            <family val="2"/>
          </rPr>
          <t>I_GP: SIGLA_AMBIENTE_CORRELATIVOCOTIZACION_CODIGOEBS_MESAÑO APROVISIONAMIENTO
I_OPEX: SIGLA_AMBIENTE_CORRELATIVOCOTIZACION_MESAÑO APROVISIONAMIENTO</t>
        </r>
      </text>
    </comment>
    <comment ref="N15" authorId="0" shapeId="0" xr:uid="{79A7225A-0C78-4E04-9B12-D0B56F2CED77}">
      <text>
        <r>
          <rPr>
            <sz val="9"/>
            <color indexed="81"/>
            <rFont val="Tahoma"/>
            <family val="2"/>
          </rPr>
          <t xml:space="preserve">Etiqueta de identificación del propósito o "scope" del recurso. El valor por defecto es </t>
        </r>
        <r>
          <rPr>
            <b/>
            <sz val="9"/>
            <color indexed="81"/>
            <rFont val="Tahoma"/>
            <family val="2"/>
          </rPr>
          <t>“APPLICATION”.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Garcia Cruz, Adderly Joel</author>
  </authors>
  <commentList>
    <comment ref="I6" authorId="0" shapeId="0" xr:uid="{C892B986-8632-432A-B173-E6EDA7F09BE2}">
      <text>
        <r>
          <rPr>
            <b/>
            <sz val="8"/>
            <color indexed="81"/>
            <rFont val="Tahoma"/>
            <family val="2"/>
          </rPr>
          <t>Nombre del Líder del proyecto</t>
        </r>
      </text>
    </comment>
    <comment ref="F7" authorId="0" shapeId="0" xr:uid="{42BD7117-6ABE-4D70-ADF7-78799D942400}">
      <text>
        <r>
          <rPr>
            <b/>
            <sz val="8"/>
            <color indexed="81"/>
            <rFont val="Tahoma"/>
            <family val="2"/>
          </rPr>
          <t>Solo aplica para Proyecto Nuevo</t>
        </r>
      </text>
    </comment>
    <comment ref="I7" authorId="0" shapeId="0" xr:uid="{19C36E2D-6A53-43E4-8990-3EB35C79A024}">
      <text>
        <r>
          <rPr>
            <b/>
            <sz val="8"/>
            <color indexed="81"/>
            <rFont val="Tahoma"/>
            <family val="2"/>
          </rPr>
          <t>Nombre del Arquitecto asignado</t>
        </r>
      </text>
    </comment>
    <comment ref="L7" authorId="0" shapeId="0" xr:uid="{734A7FAD-288F-4BD1-A604-13032413C7B3}">
      <text>
        <r>
          <rPr>
            <b/>
            <sz val="9"/>
            <color indexed="81"/>
            <rFont val="Tahoma"/>
            <family val="2"/>
          </rPr>
          <t>Indicar si es CAPEX u OPEX</t>
        </r>
      </text>
    </comment>
    <comment ref="F9" authorId="0" shapeId="0" xr:uid="{7FD8F292-B47A-45AA-9A31-6A2624A29B39}">
      <text>
        <r>
          <rPr>
            <b/>
            <sz val="9"/>
            <color indexed="81"/>
            <rFont val="Tahoma"/>
            <family val="2"/>
          </rPr>
          <t>Solo aplica para Nuevo Proyecto</t>
        </r>
      </text>
    </comment>
    <comment ref="F10" authorId="0" shapeId="0" xr:uid="{30FE1AA5-CB53-4181-A631-E2E809DCEF96}">
      <text>
        <r>
          <rPr>
            <b/>
            <sz val="9"/>
            <color indexed="81"/>
            <rFont val="Tahoma"/>
            <family val="2"/>
          </rPr>
          <t>Solo aplica para Crecimiento Vegetativo</t>
        </r>
      </text>
    </comment>
    <comment ref="L10" authorId="0" shapeId="0" xr:uid="{25243C43-4E13-4D29-8E82-693B4F3F6C9C}">
      <text>
        <r>
          <rPr>
            <b/>
            <sz val="9"/>
            <color indexed="81"/>
            <rFont val="Tahoma"/>
            <family val="2"/>
          </rPr>
          <t>Costo total de la cotización</t>
        </r>
      </text>
    </comment>
    <comment ref="F16" authorId="0" shapeId="0" xr:uid="{AE8A42C3-2DC0-4480-85E2-8A66D4C781EB}">
      <text>
        <r>
          <rPr>
            <b/>
            <sz val="8"/>
            <color indexed="81"/>
            <rFont val="Tahoma"/>
            <family val="2"/>
          </rPr>
          <t xml:space="preserve"> De acuerdo al catálogo de aplicaciones IBK</t>
        </r>
      </text>
    </comment>
    <comment ref="J16" authorId="0" shapeId="0" xr:uid="{B5BA1E3A-91BC-4DE3-898B-6DF7C8D96252}">
      <text>
        <r>
          <rPr>
            <b/>
            <sz val="9"/>
            <color indexed="81"/>
            <rFont val="Tahoma"/>
            <family val="2"/>
          </rPr>
          <t>Modelo de Servicio Cloud</t>
        </r>
      </text>
    </comment>
    <comment ref="U16" authorId="0" shapeId="0" xr:uid="{997E455D-8F98-462A-B0DA-0D2ABE8847C3}">
      <text>
        <r>
          <rPr>
            <b/>
            <sz val="9"/>
            <color indexed="81"/>
            <rFont val="Tahoma"/>
            <family val="2"/>
          </rPr>
          <t>SQL / APP / APACHE</t>
        </r>
      </text>
    </comment>
  </commentList>
</comments>
</file>

<file path=xl/sharedStrings.xml><?xml version="1.0" encoding="utf-8"?>
<sst xmlns="http://schemas.openxmlformats.org/spreadsheetml/2006/main" count="444" uniqueCount="181">
  <si>
    <t>FORMATO DE APROVISIONAMIENTO CLOUD</t>
  </si>
  <si>
    <t>Proyecto Nuevo</t>
  </si>
  <si>
    <t>Crecimiento Vegetativo</t>
  </si>
  <si>
    <t>Código EBS *:</t>
  </si>
  <si>
    <t>Tipo de Solicitud *:</t>
  </si>
  <si>
    <t>Nombre del Proyecto *:</t>
  </si>
  <si>
    <t>Solicitante *:</t>
  </si>
  <si>
    <t>CeCo *:</t>
  </si>
  <si>
    <t>Lider Técnico *:</t>
  </si>
  <si>
    <t>Arquitecto *:</t>
  </si>
  <si>
    <t>Montos en Dólares no incluyen IGV</t>
  </si>
  <si>
    <t>DEV</t>
  </si>
  <si>
    <t>UAT</t>
  </si>
  <si>
    <t>STG</t>
  </si>
  <si>
    <t>PRD</t>
  </si>
  <si>
    <t>Presupuesto *:</t>
  </si>
  <si>
    <t>CAPEX</t>
  </si>
  <si>
    <t>OPEX</t>
  </si>
  <si>
    <t>Ticket de Cotización *:</t>
  </si>
  <si>
    <t>N° Cotización*:</t>
  </si>
  <si>
    <t>DATOS DEL REQUERIMIENTO</t>
  </si>
  <si>
    <t>Ambiente</t>
  </si>
  <si>
    <t>Categoria</t>
  </si>
  <si>
    <t>Infraestructura como servicio (IaaS)</t>
  </si>
  <si>
    <t>Plataforma como servicio (PaaS)</t>
  </si>
  <si>
    <t>Software como servicio (SaaS)</t>
  </si>
  <si>
    <t>CSP</t>
  </si>
  <si>
    <t>Azure</t>
  </si>
  <si>
    <t>AWS</t>
  </si>
  <si>
    <t>GCP</t>
  </si>
  <si>
    <t>Oracle</t>
  </si>
  <si>
    <t>Huawei</t>
  </si>
  <si>
    <t>IBM</t>
  </si>
  <si>
    <t>Nombre del Recurso Cloud</t>
  </si>
  <si>
    <t>Public IP</t>
  </si>
  <si>
    <t>Static IP</t>
  </si>
  <si>
    <t>Versión</t>
  </si>
  <si>
    <t>Datos Generales</t>
  </si>
  <si>
    <t>Rol</t>
  </si>
  <si>
    <t>Aplicación</t>
  </si>
  <si>
    <t>Base de Datos</t>
  </si>
  <si>
    <t>Web</t>
  </si>
  <si>
    <t>Comunicación</t>
  </si>
  <si>
    <t>Core</t>
  </si>
  <si>
    <t>Otros</t>
  </si>
  <si>
    <t>Región de Despliegue</t>
  </si>
  <si>
    <t>Suscripción</t>
  </si>
  <si>
    <t>Grupo de Recursos</t>
  </si>
  <si>
    <t>Virtual Machine</t>
  </si>
  <si>
    <t>RAM (GB)</t>
  </si>
  <si>
    <t>CPU (GHz)</t>
  </si>
  <si>
    <t>DISCO (GB)</t>
  </si>
  <si>
    <t>Sistema Operativo</t>
  </si>
  <si>
    <t>Tipo de Disco</t>
  </si>
  <si>
    <t>TAG's</t>
  </si>
  <si>
    <t>Performance</t>
  </si>
  <si>
    <t>Software Base</t>
  </si>
  <si>
    <t>Recurso Cloud</t>
  </si>
  <si>
    <t>Componente</t>
  </si>
  <si>
    <t>AKS</t>
  </si>
  <si>
    <t>Cantidad de Nodos</t>
  </si>
  <si>
    <t>Integración con AD</t>
  </si>
  <si>
    <t>Reglas</t>
  </si>
  <si>
    <t>Almacenamiento Persistente</t>
  </si>
  <si>
    <t>Si</t>
  </si>
  <si>
    <t>No</t>
  </si>
  <si>
    <t>Aplicaciones</t>
  </si>
  <si>
    <t>Based de datos</t>
  </si>
  <si>
    <t>Data Critica</t>
  </si>
  <si>
    <t>Item</t>
  </si>
  <si>
    <t xml:space="preserve">DATOS OBLIGATORIOS (*) </t>
  </si>
  <si>
    <t>Versión:  1.0</t>
  </si>
  <si>
    <t>Monto de Cotización*: US $</t>
  </si>
  <si>
    <t>Mes inicio</t>
  </si>
  <si>
    <t>Mes Final</t>
  </si>
  <si>
    <t>Siglas de la Applicación</t>
  </si>
  <si>
    <t>Región</t>
  </si>
  <si>
    <t>Suscripción / Proyecto / Cuenta</t>
  </si>
  <si>
    <t>PoC</t>
  </si>
  <si>
    <t>Datos completados por el Solicitante</t>
  </si>
  <si>
    <t>Grupo de recursos [RG]</t>
  </si>
  <si>
    <t>GASTO DE PROYECTO [GP]</t>
  </si>
  <si>
    <t>Vnet</t>
  </si>
  <si>
    <t>Subnet</t>
  </si>
  <si>
    <t>Observaciones</t>
  </si>
  <si>
    <t>SBX</t>
  </si>
  <si>
    <t>Versión:  3.0</t>
  </si>
  <si>
    <t>Datos completados por Ingeniería Cloud</t>
  </si>
  <si>
    <t>Datos completados por Arquitectura Cloud</t>
  </si>
  <si>
    <t>Application</t>
  </si>
  <si>
    <t>Audit</t>
  </si>
  <si>
    <t>Devops</t>
  </si>
  <si>
    <t>Security</t>
  </si>
  <si>
    <t>Networking</t>
  </si>
  <si>
    <t>Observability</t>
  </si>
  <si>
    <t>Nombre del Componente (*)</t>
  </si>
  <si>
    <t>Tipo de componente  (*)</t>
  </si>
  <si>
    <t>Siglas de la Aplicación  (*)</t>
  </si>
  <si>
    <t>Ambiente (*)</t>
  </si>
  <si>
    <t>Siglas de la Activación  (*)</t>
  </si>
  <si>
    <t>Propósito  (*)</t>
  </si>
  <si>
    <t>Nombre del Proyecto (*):</t>
  </si>
  <si>
    <t>Tipo de Solicitud (*):</t>
  </si>
  <si>
    <t>Solicitante (*):</t>
  </si>
  <si>
    <t>Código EBS (*):</t>
  </si>
  <si>
    <t>CeCo (*):</t>
  </si>
  <si>
    <t>Lider Técnico (*):</t>
  </si>
  <si>
    <t>Arquitecto (*):</t>
  </si>
  <si>
    <t>Presupuesto (*):</t>
  </si>
  <si>
    <t>Ticket de Cotización (*):</t>
  </si>
  <si>
    <t>N° Cotización (*):</t>
  </si>
  <si>
    <t>Monto de Cotización USD $ (*):</t>
  </si>
  <si>
    <t>Mes inicio (*):</t>
  </si>
  <si>
    <t>Mes Final (*):</t>
  </si>
  <si>
    <t>Crecimiento / Ampliación</t>
  </si>
  <si>
    <t>Otras</t>
  </si>
  <si>
    <t>RDP</t>
  </si>
  <si>
    <t>David Silva Collantes</t>
  </si>
  <si>
    <t>Alejandro Araujo Fuster</t>
  </si>
  <si>
    <t>U052026-04</t>
  </si>
  <si>
    <t>No aplica</t>
  </si>
  <si>
    <t>shared services</t>
  </si>
  <si>
    <t>us-east-1</t>
  </si>
  <si>
    <t>pe-ibk-aws-cross-ext-uat-01</t>
  </si>
  <si>
    <t>pe-ibk-aws-rdp-uat-01</t>
  </si>
  <si>
    <t>VPCEXTRANET</t>
  </si>
  <si>
    <t>Subnet-NLB-EXT-UAT-AZ1
Subnet-NLB-EXT-UAT-AZ2</t>
  </si>
  <si>
    <t>Subnet-NLB-INT-UAT-AZ1
Subnet-NLB-INT-UAT-AZ2</t>
  </si>
  <si>
    <t>nlbrdpintgruat01</t>
  </si>
  <si>
    <t>nlbrdpintgruat02</t>
  </si>
  <si>
    <t>VPC LOCAL</t>
  </si>
  <si>
    <t>Subnet APP UAT AZ1
Subnet APP UAT AZ2</t>
  </si>
  <si>
    <t>API GW UAT AZ1
API GW UAT AZ2</t>
  </si>
  <si>
    <t>DB UAT AZ 1
DB UAT AZ 2</t>
  </si>
  <si>
    <t>APP UAT AZ1
APP UAT AZ2</t>
  </si>
  <si>
    <t>KMS UAT AZ 1
KMS UAT AZ 2</t>
  </si>
  <si>
    <t>Elastic Load Balancing (NLB)</t>
  </si>
  <si>
    <t>API Gateway</t>
  </si>
  <si>
    <t>Amazon Athena</t>
  </si>
  <si>
    <t>Amazon CloudWatch</t>
  </si>
  <si>
    <t>Amazon Cognito</t>
  </si>
  <si>
    <t>Amazon Data Firehose</t>
  </si>
  <si>
    <t>Amazon DynamoDB</t>
  </si>
  <si>
    <t>Amazon EventBridge</t>
  </si>
  <si>
    <t>Amazon S3</t>
  </si>
  <si>
    <t>AWS Key Management Service</t>
  </si>
  <si>
    <t>AWS Lambda</t>
  </si>
  <si>
    <t>AWS Secrets Manager</t>
  </si>
  <si>
    <t>VPC Endpoint Interface - API Gateway</t>
  </si>
  <si>
    <t>VPC Endpoint Gateway - DynamoDB</t>
  </si>
  <si>
    <t>VPC Endpoint Gateway - S3</t>
  </si>
  <si>
    <t>VPC Endpoint Interface - CloudWatch</t>
  </si>
  <si>
    <t>VPC Endpoint Interface - Parameter Store System Manager</t>
  </si>
  <si>
    <t>VPC Endpoint Interface - Secret Manager</t>
  </si>
  <si>
    <t>VPC Endpoint Interface - Kinesis Data Firehose</t>
  </si>
  <si>
    <t>VPC Endpoint Interface - KMS</t>
  </si>
  <si>
    <t>lbdrdppersonconnectuat01</t>
  </si>
  <si>
    <t>agwrdpexternaluat01</t>
  </si>
  <si>
    <t>rdppersonuat01 (WorkGroup)</t>
  </si>
  <si>
    <t>cgrdppersonintgruat01</t>
  </si>
  <si>
    <t>kdfrdppersonuat01</t>
  </si>
  <si>
    <t>evbrdppersonsfwprocessuat01</t>
  </si>
  <si>
    <t>s3rdppersonuat01</t>
  </si>
  <si>
    <t>s3rdppersonstguat01</t>
  </si>
  <si>
    <t>kmsrdpkeyencryptuat01</t>
  </si>
  <si>
    <t>lbdrdppersonstreamuat01</t>
  </si>
  <si>
    <t>scrtrdpstreamuat01</t>
  </si>
  <si>
    <t>veprdpvpcesuat01</t>
  </si>
  <si>
    <t>veprdpddbuat01</t>
  </si>
  <si>
    <t>veprdps3uat01</t>
  </si>
  <si>
    <t>veprdpcwuat01</t>
  </si>
  <si>
    <t>veprdpssmuat01</t>
  </si>
  <si>
    <t>veprdpscrtuat01</t>
  </si>
  <si>
    <t>veprdpkdfuat01</t>
  </si>
  <si>
    <t>Recurso existente y será reutilizado</t>
  </si>
  <si>
    <t>ddb-rdp-lbdrdppersonconnectuat01</t>
  </si>
  <si>
    <t>veprdpkmsuat01</t>
  </si>
  <si>
    <t>ddb-rdp-config-uat</t>
  </si>
  <si>
    <t>agwrdpinternaluat01</t>
  </si>
  <si>
    <t>/aws/lambda/lbdrdppersonconnectuat01</t>
  </si>
  <si>
    <t>/aws/lambda/lbdrdppersonstreamuat01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</si>
</sst>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4" fontId="1" fillId="0" borderId="1" xfId="0" applyNumberFormat="1" applyFont="1" applyBorder="1" applyAlignment="1" applyProtection="1">
      <alignment horizontal="left" vertical="center"/>
      <protection locked="0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 applyProtection="1">
      <alignment horizontal="right" vertical="center"/>
      <protection locked="0"/>
    </xf>
    <xf numFmtId="17" fontId="1" fillId="0" borderId="1" xfId="0" applyNumberFormat="1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ill>
        <patternFill patternType="gray0625">
          <bgColor theme="0" tint="-0.14996795556505021"/>
        </patternFill>
      </fill>
    </dxf>
    <dxf>
      <fill>
        <patternFill patternType="gray0625"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787734</xdr:colOff>
      <xdr:row>3</xdr:row>
      <xdr:rowOff>92527</xdr:rowOff>
    </xdr:from>
    <xdr:to>
      <xdr:col>4</xdr:col>
      <xdr:colOff>490938</xdr:colOff>
      <xdr:row>9</xdr:row>
      <xdr:rowOff>111579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AF2E63-3664-4849-8228-CE3907AE37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59" b="28530"/>
        <a:stretch/>
      </xdr:blipFill>
      <xdr:spPr>
        <a:xfrm>
          <a:off x="1274567" y="494694"/>
          <a:ext cx="3978871" cy="1087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3</xdr:row>
      <xdr:rowOff>85724</xdr:rowOff>
    </xdr:from>
    <xdr:to>
      <xdr:col>4</xdr:col>
      <xdr:colOff>442913</xdr:colOff>
      <xdr:row>8</xdr:row>
      <xdr:rowOff>152399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5FA646-A40D-FFF9-9F56-5B3DFACDA9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59" b="28530"/>
        <a:stretch/>
      </xdr:blipFill>
      <xdr:spPr>
        <a:xfrm>
          <a:off x="657225" y="504824"/>
          <a:ext cx="3157538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6235-9C22-4958-A722-9F0ED745B6A4}">
  <dimension ref="B1:AL117"/>
  <sheetViews>
    <sheetView showGridLines="0" tabSelected="1" topLeftCell="E1" zoomScale="70" zoomScaleNormal="70" workbookViewId="0">
      <pane ySplit="15" topLeftCell="A16" activePane="bottomLeft" state="frozen"/>
      <selection pane="bottomLeft" activeCell="F42" sqref="F42"/>
    </sheetView>
  </sheetViews>
  <sheetFormatPr baseColWidth="10" defaultRowHeight="15" x14ac:dyDescent="0.25"/>
  <cols>
    <col min="1" max="1" width="1.7109375" style="16" customWidth="1"/>
    <col min="2" max="2" width="5.5703125" style="16" bestFit="1" customWidth="1"/>
    <col min="3" max="4" width="32" style="16" customWidth="1"/>
    <col min="5" max="5" width="21.5703125" style="16" customWidth="1"/>
    <col min="6" max="6" width="41.85546875" style="16" customWidth="1"/>
    <col min="7" max="8" width="32.42578125" style="16" customWidth="1"/>
    <col min="9" max="10" width="26.85546875" style="16" customWidth="1"/>
    <col min="11" max="11" width="27.5703125" style="16" customWidth="1"/>
    <col min="12" max="12" width="39.85546875" style="16" customWidth="1"/>
    <col min="13" max="13" width="24" style="16" customWidth="1"/>
    <col min="14" max="14" width="16.42578125" style="16" customWidth="1"/>
    <col min="15" max="15" width="31.7109375" style="16" customWidth="1"/>
    <col min="16" max="16" width="125.7109375" style="16" customWidth="1"/>
    <col min="17" max="37" width="10.7109375" style="16" customWidth="1"/>
    <col min="38" max="38" width="36.42578125" style="16" bestFit="1" customWidth="1"/>
    <col min="39" max="16384" width="11.42578125" style="16"/>
  </cols>
  <sheetData>
    <row r="1" spans="2:38" ht="3.75" customHeight="1" x14ac:dyDescent="0.25"/>
    <row r="2" spans="2:38" ht="24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AL2" s="16" t="s">
        <v>1</v>
      </c>
    </row>
    <row r="3" spans="2:38" ht="3" customHeight="1" x14ac:dyDescent="0.25">
      <c r="C3" s="17"/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AL3" s="16" t="s">
        <v>114</v>
      </c>
    </row>
    <row r="4" spans="2:38" ht="21" customHeight="1" x14ac:dyDescent="0.25">
      <c r="B4" s="36" t="s">
        <v>86</v>
      </c>
      <c r="C4" s="37"/>
      <c r="D4" s="37"/>
      <c r="E4" s="37"/>
      <c r="F4" s="51" t="s">
        <v>70</v>
      </c>
      <c r="G4" s="52"/>
      <c r="H4" s="52"/>
      <c r="I4" s="52"/>
      <c r="J4" s="52"/>
      <c r="K4" s="52"/>
      <c r="L4" s="52"/>
      <c r="M4" s="52"/>
      <c r="N4" s="52"/>
      <c r="O4" s="52"/>
      <c r="P4" s="53"/>
    </row>
    <row r="5" spans="2:38" ht="3" customHeight="1" x14ac:dyDescent="0.25">
      <c r="B5" s="36"/>
      <c r="C5" s="37"/>
      <c r="D5" s="37"/>
      <c r="E5" s="37"/>
      <c r="F5" s="1"/>
      <c r="G5" s="18"/>
      <c r="H5" s="18"/>
      <c r="I5" s="18"/>
      <c r="J5" s="18"/>
      <c r="K5" s="18"/>
      <c r="L5" s="18"/>
      <c r="M5" s="18"/>
      <c r="N5" s="18"/>
      <c r="O5" s="18"/>
      <c r="AL5" s="16" t="s">
        <v>11</v>
      </c>
    </row>
    <row r="6" spans="2:38" x14ac:dyDescent="0.25">
      <c r="B6" s="36"/>
      <c r="C6" s="37"/>
      <c r="D6" s="37"/>
      <c r="E6" s="37"/>
      <c r="F6" s="1"/>
      <c r="G6" s="6" t="s">
        <v>102</v>
      </c>
      <c r="H6" s="20" t="s">
        <v>1</v>
      </c>
      <c r="J6" s="6" t="s">
        <v>106</v>
      </c>
      <c r="K6" s="22" t="s">
        <v>117</v>
      </c>
      <c r="L6" s="45" t="s">
        <v>10</v>
      </c>
      <c r="M6" s="46"/>
      <c r="N6" s="46"/>
      <c r="O6" s="47"/>
      <c r="AL6" s="16" t="s">
        <v>13</v>
      </c>
    </row>
    <row r="7" spans="2:38" x14ac:dyDescent="0.25">
      <c r="B7" s="36"/>
      <c r="C7" s="37"/>
      <c r="D7" s="37"/>
      <c r="E7" s="37"/>
      <c r="F7" s="1"/>
      <c r="G7" s="6" t="s">
        <v>101</v>
      </c>
      <c r="H7" s="20" t="s">
        <v>116</v>
      </c>
      <c r="J7" s="6" t="s">
        <v>107</v>
      </c>
      <c r="K7" s="22" t="s">
        <v>118</v>
      </c>
      <c r="L7" s="28" t="s">
        <v>108</v>
      </c>
      <c r="M7" s="19" t="s">
        <v>17</v>
      </c>
      <c r="N7" s="28" t="s">
        <v>112</v>
      </c>
      <c r="O7" s="31">
        <v>46143</v>
      </c>
      <c r="AL7" s="16" t="s">
        <v>12</v>
      </c>
    </row>
    <row r="8" spans="2:38" x14ac:dyDescent="0.25">
      <c r="B8" s="36"/>
      <c r="C8" s="37"/>
      <c r="D8" s="37"/>
      <c r="E8" s="37"/>
      <c r="F8" s="1"/>
      <c r="G8" s="6" t="s">
        <v>103</v>
      </c>
      <c r="H8" s="20" t="s">
        <v>117</v>
      </c>
      <c r="I8" s="21"/>
      <c r="J8" s="21"/>
      <c r="L8" s="28" t="s">
        <v>109</v>
      </c>
      <c r="M8" s="19">
        <v>4168426</v>
      </c>
      <c r="N8" s="28" t="s">
        <v>113</v>
      </c>
      <c r="O8" s="31">
        <v>46478</v>
      </c>
      <c r="AL8" s="16" t="s">
        <v>14</v>
      </c>
    </row>
    <row r="9" spans="2:38" x14ac:dyDescent="0.25">
      <c r="B9" s="36"/>
      <c r="C9" s="37"/>
      <c r="D9" s="37"/>
      <c r="E9" s="37"/>
      <c r="F9" s="1"/>
      <c r="G9" s="6" t="s">
        <v>104</v>
      </c>
      <c r="H9" s="20"/>
      <c r="L9" s="11" t="s">
        <v>110</v>
      </c>
      <c r="M9" s="19" t="s">
        <v>119</v>
      </c>
      <c r="N9" s="21"/>
      <c r="O9" s="21"/>
      <c r="AL9" s="16" t="s">
        <v>78</v>
      </c>
    </row>
    <row r="10" spans="2:38" x14ac:dyDescent="0.25">
      <c r="B10" s="36"/>
      <c r="C10" s="37"/>
      <c r="D10" s="37"/>
      <c r="E10" s="37"/>
      <c r="F10" s="1"/>
      <c r="G10" s="6" t="s">
        <v>105</v>
      </c>
      <c r="H10" s="20">
        <v>7790000000</v>
      </c>
      <c r="L10" s="11" t="s">
        <v>111</v>
      </c>
      <c r="M10" s="23">
        <v>2205.6</v>
      </c>
      <c r="N10" s="21"/>
      <c r="O10" s="21"/>
      <c r="AH10" s="30" t="str">
        <f>TEXT(O7, "MMYYYY")</f>
        <v>052026</v>
      </c>
      <c r="AL10" s="16" t="s">
        <v>85</v>
      </c>
    </row>
    <row r="11" spans="2:38" ht="3" customHeight="1" x14ac:dyDescent="0.25"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2:38" ht="21" customHeight="1" x14ac:dyDescent="0.25">
      <c r="B12" s="42" t="s">
        <v>20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AL12" s="16" t="s">
        <v>81</v>
      </c>
    </row>
    <row r="13" spans="2:38" ht="3" customHeight="1" x14ac:dyDescent="0.25"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AL13" s="16" t="s">
        <v>17</v>
      </c>
    </row>
    <row r="14" spans="2:38" ht="21" customHeight="1" x14ac:dyDescent="0.25">
      <c r="B14" s="38" t="s">
        <v>69</v>
      </c>
      <c r="C14" s="48" t="s">
        <v>87</v>
      </c>
      <c r="D14" s="49"/>
      <c r="E14" s="49"/>
      <c r="F14" s="50"/>
      <c r="G14" s="43" t="s">
        <v>88</v>
      </c>
      <c r="H14" s="44"/>
      <c r="I14" s="41" t="s">
        <v>79</v>
      </c>
      <c r="J14" s="41"/>
      <c r="K14" s="41"/>
      <c r="L14" s="41"/>
      <c r="M14" s="41"/>
      <c r="N14" s="41"/>
      <c r="O14" s="41"/>
      <c r="P14" s="41"/>
    </row>
    <row r="15" spans="2:38" ht="21" customHeight="1" x14ac:dyDescent="0.25">
      <c r="B15" s="39"/>
      <c r="C15" s="25" t="s">
        <v>80</v>
      </c>
      <c r="D15" s="25" t="s">
        <v>77</v>
      </c>
      <c r="E15" s="25" t="s">
        <v>76</v>
      </c>
      <c r="F15" s="25" t="s">
        <v>95</v>
      </c>
      <c r="G15" s="26" t="s">
        <v>82</v>
      </c>
      <c r="H15" s="26" t="s">
        <v>83</v>
      </c>
      <c r="I15" s="24" t="s">
        <v>96</v>
      </c>
      <c r="J15" s="24" t="s">
        <v>97</v>
      </c>
      <c r="K15" s="24" t="s">
        <v>98</v>
      </c>
      <c r="L15" s="24" t="s">
        <v>99</v>
      </c>
      <c r="M15" s="24" t="s">
        <v>26</v>
      </c>
      <c r="N15" s="27" t="s">
        <v>100</v>
      </c>
      <c r="O15" s="54" t="s">
        <v>84</v>
      </c>
      <c r="P15" s="55"/>
      <c r="AL15" s="16" t="s">
        <v>23</v>
      </c>
    </row>
    <row r="16" spans="2:38" ht="30" x14ac:dyDescent="0.25">
      <c r="B16" s="7">
        <v>1</v>
      </c>
      <c r="C16" s="22" t="s">
        <v>120</v>
      </c>
      <c r="D16" s="22" t="s">
        <v>121</v>
      </c>
      <c r="E16" s="22" t="s">
        <v>122</v>
      </c>
      <c r="F16" s="22" t="s">
        <v>128</v>
      </c>
      <c r="G16" s="22" t="s">
        <v>125</v>
      </c>
      <c r="H16" s="32" t="s">
        <v>127</v>
      </c>
      <c r="I16" s="22" t="s">
        <v>136</v>
      </c>
      <c r="J16" s="22" t="s">
        <v>116</v>
      </c>
      <c r="K16" s="22" t="s">
        <v>12</v>
      </c>
      <c r="L16" s="22" t="str">
        <f t="shared" ref="L16:L41" si="0">_xlfn.CONCAT($J$16,"_",$K$16,"_",$M$9,"_",$H$9,"_",$AH$10)</f>
        <v>RDP_UAT_U052026-04__052026</v>
      </c>
      <c r="M16" s="22" t="s">
        <v>28</v>
      </c>
      <c r="N16" s="22" t="s">
        <v>89</v>
      </c>
      <c r="O16" s="33" t="s">
        <v>174</v>
      </c>
      <c r="P16" s="34"/>
    </row>
    <row r="17" spans="2:38" ht="30" x14ac:dyDescent="0.25">
      <c r="B17" s="7">
        <v>2</v>
      </c>
      <c r="C17" s="22" t="s">
        <v>120</v>
      </c>
      <c r="D17" s="22" t="s">
        <v>123</v>
      </c>
      <c r="E17" s="22" t="s">
        <v>122</v>
      </c>
      <c r="F17" s="22" t="s">
        <v>129</v>
      </c>
      <c r="G17" s="22" t="s">
        <v>125</v>
      </c>
      <c r="H17" s="32" t="s">
        <v>126</v>
      </c>
      <c r="I17" s="22" t="s">
        <v>136</v>
      </c>
      <c r="J17" s="22" t="s">
        <v>116</v>
      </c>
      <c r="K17" s="22" t="s">
        <v>12</v>
      </c>
      <c r="L17" s="22" t="str">
        <f t="shared" si="0"/>
        <v>RDP_UAT_U052026-04__052026</v>
      </c>
      <c r="M17" s="22" t="s">
        <v>28</v>
      </c>
      <c r="N17" s="22" t="s">
        <v>89</v>
      </c>
      <c r="O17" s="33" t="s">
        <v>174</v>
      </c>
      <c r="P17" s="34"/>
      <c r="AL17" s="16" t="s">
        <v>25</v>
      </c>
    </row>
    <row r="18" spans="2:38" x14ac:dyDescent="0.25">
      <c r="B18" s="7">
        <v>3</v>
      </c>
      <c r="C18" s="22" t="s">
        <v>120</v>
      </c>
      <c r="D18" s="22" t="s">
        <v>123</v>
      </c>
      <c r="E18" s="22" t="s">
        <v>122</v>
      </c>
      <c r="F18" s="22" t="s">
        <v>178</v>
      </c>
      <c r="G18" s="22" t="s">
        <v>120</v>
      </c>
      <c r="H18" s="22" t="s">
        <v>120</v>
      </c>
      <c r="I18" s="22" t="s">
        <v>137</v>
      </c>
      <c r="J18" s="22" t="s">
        <v>116</v>
      </c>
      <c r="K18" s="22" t="s">
        <v>12</v>
      </c>
      <c r="L18" s="22" t="str">
        <f t="shared" si="0"/>
        <v>RDP_UAT_U052026-04__052026</v>
      </c>
      <c r="M18" s="22" t="s">
        <v>28</v>
      </c>
      <c r="N18" s="22" t="s">
        <v>89</v>
      </c>
      <c r="O18" s="33"/>
      <c r="P18" s="34"/>
    </row>
    <row r="19" spans="2:38" x14ac:dyDescent="0.25">
      <c r="B19" s="7">
        <v>4</v>
      </c>
      <c r="C19" s="22" t="s">
        <v>120</v>
      </c>
      <c r="D19" s="22" t="s">
        <v>123</v>
      </c>
      <c r="E19" s="22" t="s">
        <v>122</v>
      </c>
      <c r="F19" s="22" t="s">
        <v>157</v>
      </c>
      <c r="G19" s="22" t="s">
        <v>120</v>
      </c>
      <c r="H19" s="22" t="s">
        <v>120</v>
      </c>
      <c r="I19" s="22" t="s">
        <v>137</v>
      </c>
      <c r="J19" s="22" t="s">
        <v>116</v>
      </c>
      <c r="K19" s="22" t="s">
        <v>12</v>
      </c>
      <c r="L19" s="22" t="str">
        <f t="shared" si="0"/>
        <v>RDP_UAT_U052026-04__052026</v>
      </c>
      <c r="M19" s="22" t="s">
        <v>28</v>
      </c>
      <c r="N19" s="22" t="s">
        <v>89</v>
      </c>
      <c r="O19" s="33"/>
      <c r="P19" s="34"/>
    </row>
    <row r="20" spans="2:38" x14ac:dyDescent="0.25">
      <c r="B20" s="7">
        <v>5</v>
      </c>
      <c r="C20" s="22" t="s">
        <v>120</v>
      </c>
      <c r="D20" s="22" t="s">
        <v>124</v>
      </c>
      <c r="E20" s="22" t="s">
        <v>122</v>
      </c>
      <c r="F20" s="22" t="s">
        <v>158</v>
      </c>
      <c r="G20" s="22" t="s">
        <v>120</v>
      </c>
      <c r="H20" s="22" t="s">
        <v>120</v>
      </c>
      <c r="I20" s="22" t="s">
        <v>138</v>
      </c>
      <c r="J20" s="22" t="s">
        <v>116</v>
      </c>
      <c r="K20" s="22" t="s">
        <v>12</v>
      </c>
      <c r="L20" s="22" t="str">
        <f t="shared" si="0"/>
        <v>RDP_UAT_U052026-04__052026</v>
      </c>
      <c r="M20" s="22" t="s">
        <v>28</v>
      </c>
      <c r="N20" s="22" t="s">
        <v>89</v>
      </c>
      <c r="O20" s="33"/>
      <c r="P20" s="34"/>
      <c r="AL20" s="16" t="s">
        <v>27</v>
      </c>
    </row>
    <row r="21" spans="2:38" x14ac:dyDescent="0.25">
      <c r="B21" s="7">
        <v>6</v>
      </c>
      <c r="C21" s="22" t="s">
        <v>120</v>
      </c>
      <c r="D21" s="22" t="s">
        <v>124</v>
      </c>
      <c r="E21" s="22" t="s">
        <v>122</v>
      </c>
      <c r="F21" s="22" t="s">
        <v>179</v>
      </c>
      <c r="G21" s="22" t="s">
        <v>120</v>
      </c>
      <c r="H21" s="22" t="s">
        <v>120</v>
      </c>
      <c r="I21" s="22" t="s">
        <v>139</v>
      </c>
      <c r="J21" s="22" t="s">
        <v>116</v>
      </c>
      <c r="K21" s="22" t="s">
        <v>12</v>
      </c>
      <c r="L21" s="22" t="str">
        <f t="shared" si="0"/>
        <v>RDP_UAT_U052026-04__052026</v>
      </c>
      <c r="M21" s="22" t="s">
        <v>28</v>
      </c>
      <c r="N21" s="22" t="s">
        <v>89</v>
      </c>
      <c r="O21" s="33"/>
      <c r="P21" s="34"/>
      <c r="AL21" s="16" t="s">
        <v>28</v>
      </c>
    </row>
    <row r="22" spans="2:38" x14ac:dyDescent="0.25">
      <c r="B22" s="7">
        <v>7</v>
      </c>
      <c r="C22" s="22" t="s">
        <v>120</v>
      </c>
      <c r="D22" s="22" t="s">
        <v>123</v>
      </c>
      <c r="E22" s="22" t="s">
        <v>122</v>
      </c>
      <c r="F22" s="22" t="s">
        <v>159</v>
      </c>
      <c r="G22" s="22" t="s">
        <v>120</v>
      </c>
      <c r="H22" s="22" t="s">
        <v>120</v>
      </c>
      <c r="I22" s="22" t="s">
        <v>140</v>
      </c>
      <c r="J22" s="22" t="s">
        <v>116</v>
      </c>
      <c r="K22" s="22" t="s">
        <v>12</v>
      </c>
      <c r="L22" s="22" t="str">
        <f t="shared" si="0"/>
        <v>RDP_UAT_U052026-04__052026</v>
      </c>
      <c r="M22" s="22" t="s">
        <v>28</v>
      </c>
      <c r="N22" s="22" t="s">
        <v>89</v>
      </c>
      <c r="O22" s="33"/>
      <c r="P22" s="34"/>
      <c r="AL22" s="16" t="s">
        <v>29</v>
      </c>
    </row>
    <row r="23" spans="2:38" x14ac:dyDescent="0.25">
      <c r="B23" s="7">
        <v>8</v>
      </c>
      <c r="C23" s="22" t="s">
        <v>120</v>
      </c>
      <c r="D23" s="22" t="s">
        <v>124</v>
      </c>
      <c r="E23" s="22" t="s">
        <v>122</v>
      </c>
      <c r="F23" s="22" t="s">
        <v>160</v>
      </c>
      <c r="G23" s="22" t="s">
        <v>120</v>
      </c>
      <c r="H23" s="22" t="s">
        <v>120</v>
      </c>
      <c r="I23" s="22" t="s">
        <v>141</v>
      </c>
      <c r="J23" s="22" t="s">
        <v>116</v>
      </c>
      <c r="K23" s="22" t="s">
        <v>12</v>
      </c>
      <c r="L23" s="22" t="str">
        <f t="shared" si="0"/>
        <v>RDP_UAT_U052026-04__052026</v>
      </c>
      <c r="M23" s="22" t="s">
        <v>28</v>
      </c>
      <c r="N23" s="22" t="s">
        <v>89</v>
      </c>
      <c r="O23" s="33"/>
      <c r="P23" s="34"/>
      <c r="AL23" s="16" t="s">
        <v>32</v>
      </c>
    </row>
    <row r="24" spans="2:38" x14ac:dyDescent="0.25">
      <c r="B24" s="7">
        <v>9</v>
      </c>
      <c r="C24" s="22" t="s">
        <v>120</v>
      </c>
      <c r="D24" s="22" t="s">
        <v>124</v>
      </c>
      <c r="E24" s="22" t="s">
        <v>122</v>
      </c>
      <c r="F24" s="22" t="s">
        <v>175</v>
      </c>
      <c r="G24" s="22" t="s">
        <v>120</v>
      </c>
      <c r="H24" s="22" t="s">
        <v>120</v>
      </c>
      <c r="I24" s="22" t="s">
        <v>142</v>
      </c>
      <c r="J24" s="22" t="s">
        <v>116</v>
      </c>
      <c r="K24" s="22" t="s">
        <v>12</v>
      </c>
      <c r="L24" s="22" t="str">
        <f t="shared" si="0"/>
        <v>RDP_UAT_U052026-04__052026</v>
      </c>
      <c r="M24" s="22" t="s">
        <v>28</v>
      </c>
      <c r="N24" s="22" t="s">
        <v>89</v>
      </c>
      <c r="O24" s="33"/>
      <c r="P24" s="34"/>
      <c r="AL24" s="16" t="s">
        <v>30</v>
      </c>
    </row>
    <row r="25" spans="2:38" x14ac:dyDescent="0.25">
      <c r="B25" s="7">
        <v>10</v>
      </c>
      <c r="C25" s="22" t="s">
        <v>120</v>
      </c>
      <c r="D25" s="22" t="s">
        <v>124</v>
      </c>
      <c r="E25" s="22" t="s">
        <v>122</v>
      </c>
      <c r="F25" s="22" t="s">
        <v>161</v>
      </c>
      <c r="G25" s="22" t="s">
        <v>120</v>
      </c>
      <c r="H25" s="22" t="s">
        <v>120</v>
      </c>
      <c r="I25" s="22" t="s">
        <v>143</v>
      </c>
      <c r="J25" s="22" t="s">
        <v>116</v>
      </c>
      <c r="K25" s="22" t="s">
        <v>12</v>
      </c>
      <c r="L25" s="22" t="str">
        <f t="shared" si="0"/>
        <v>RDP_UAT_U052026-04__052026</v>
      </c>
      <c r="M25" s="22" t="s">
        <v>28</v>
      </c>
      <c r="N25" s="22" t="s">
        <v>89</v>
      </c>
      <c r="O25" s="33"/>
      <c r="P25" s="34"/>
      <c r="AL25" s="16" t="s">
        <v>115</v>
      </c>
    </row>
    <row r="26" spans="2:38" x14ac:dyDescent="0.25">
      <c r="B26" s="7">
        <v>11</v>
      </c>
      <c r="C26" s="22" t="s">
        <v>120</v>
      </c>
      <c r="D26" s="22" t="s">
        <v>124</v>
      </c>
      <c r="E26" s="22" t="s">
        <v>122</v>
      </c>
      <c r="F26" s="22" t="s">
        <v>162</v>
      </c>
      <c r="G26" s="22" t="s">
        <v>120</v>
      </c>
      <c r="H26" s="22" t="s">
        <v>120</v>
      </c>
      <c r="I26" s="22" t="s">
        <v>144</v>
      </c>
      <c r="J26" s="22" t="s">
        <v>116</v>
      </c>
      <c r="K26" s="22" t="s">
        <v>12</v>
      </c>
      <c r="L26" s="22" t="str">
        <f t="shared" si="0"/>
        <v>RDP_UAT_U052026-04__052026</v>
      </c>
      <c r="M26" s="22" t="s">
        <v>28</v>
      </c>
      <c r="N26" s="22" t="s">
        <v>89</v>
      </c>
      <c r="O26" s="33"/>
      <c r="P26" s="34"/>
    </row>
    <row r="27" spans="2:38" x14ac:dyDescent="0.25">
      <c r="B27" s="7">
        <v>12</v>
      </c>
      <c r="C27" s="22" t="s">
        <v>120</v>
      </c>
      <c r="D27" s="22" t="s">
        <v>124</v>
      </c>
      <c r="E27" s="22" t="s">
        <v>122</v>
      </c>
      <c r="F27" s="22" t="s">
        <v>163</v>
      </c>
      <c r="G27" s="22" t="s">
        <v>120</v>
      </c>
      <c r="H27" s="22" t="s">
        <v>120</v>
      </c>
      <c r="I27" s="22" t="s">
        <v>144</v>
      </c>
      <c r="J27" s="22" t="s">
        <v>116</v>
      </c>
      <c r="K27" s="22" t="s">
        <v>12</v>
      </c>
      <c r="L27" s="22" t="str">
        <f t="shared" si="0"/>
        <v>RDP_UAT_U052026-04__052026</v>
      </c>
      <c r="M27" s="22" t="s">
        <v>28</v>
      </c>
      <c r="N27" s="22" t="s">
        <v>89</v>
      </c>
      <c r="O27" s="33"/>
      <c r="P27" s="34"/>
    </row>
    <row r="28" spans="2:38" x14ac:dyDescent="0.25">
      <c r="B28" s="7">
        <v>13</v>
      </c>
      <c r="C28" s="22" t="s">
        <v>120</v>
      </c>
      <c r="D28" s="22" t="s">
        <v>124</v>
      </c>
      <c r="E28" s="22" t="s">
        <v>122</v>
      </c>
      <c r="F28" s="22" t="s">
        <v>164</v>
      </c>
      <c r="G28" s="22" t="s">
        <v>120</v>
      </c>
      <c r="H28" s="22" t="s">
        <v>120</v>
      </c>
      <c r="I28" s="22" t="s">
        <v>145</v>
      </c>
      <c r="J28" s="22" t="s">
        <v>116</v>
      </c>
      <c r="K28" s="22" t="s">
        <v>12</v>
      </c>
      <c r="L28" s="22" t="str">
        <f t="shared" si="0"/>
        <v>RDP_UAT_U052026-04__052026</v>
      </c>
      <c r="M28" s="22" t="s">
        <v>28</v>
      </c>
      <c r="N28" s="22" t="s">
        <v>89</v>
      </c>
      <c r="O28" s="33"/>
      <c r="P28" s="34"/>
      <c r="AL28" s="16" t="s">
        <v>39</v>
      </c>
    </row>
    <row r="29" spans="2:38" ht="30" x14ac:dyDescent="0.25">
      <c r="B29" s="7">
        <v>14</v>
      </c>
      <c r="C29" s="22" t="s">
        <v>120</v>
      </c>
      <c r="D29" s="22" t="s">
        <v>124</v>
      </c>
      <c r="E29" s="22" t="s">
        <v>122</v>
      </c>
      <c r="F29" s="22" t="s">
        <v>156</v>
      </c>
      <c r="G29" s="22" t="s">
        <v>130</v>
      </c>
      <c r="H29" s="32" t="s">
        <v>131</v>
      </c>
      <c r="I29" s="22" t="s">
        <v>146</v>
      </c>
      <c r="J29" s="22" t="s">
        <v>116</v>
      </c>
      <c r="K29" s="22" t="s">
        <v>12</v>
      </c>
      <c r="L29" s="22" t="str">
        <f t="shared" si="0"/>
        <v>RDP_UAT_U052026-04__052026</v>
      </c>
      <c r="M29" s="22" t="s">
        <v>28</v>
      </c>
      <c r="N29" s="22" t="s">
        <v>89</v>
      </c>
      <c r="O29" s="33"/>
      <c r="P29" s="34"/>
      <c r="AL29" s="16" t="s">
        <v>40</v>
      </c>
    </row>
    <row r="30" spans="2:38" ht="30" x14ac:dyDescent="0.25">
      <c r="B30" s="7">
        <v>15</v>
      </c>
      <c r="C30" s="22" t="s">
        <v>120</v>
      </c>
      <c r="D30" s="22" t="s">
        <v>124</v>
      </c>
      <c r="E30" s="22" t="s">
        <v>122</v>
      </c>
      <c r="F30" s="22" t="s">
        <v>165</v>
      </c>
      <c r="G30" s="22" t="s">
        <v>130</v>
      </c>
      <c r="H30" s="32" t="s">
        <v>131</v>
      </c>
      <c r="I30" s="22" t="s">
        <v>146</v>
      </c>
      <c r="J30" s="22" t="s">
        <v>116</v>
      </c>
      <c r="K30" s="22" t="s">
        <v>12</v>
      </c>
      <c r="L30" s="22" t="str">
        <f t="shared" si="0"/>
        <v>RDP_UAT_U052026-04__052026</v>
      </c>
      <c r="M30" s="22" t="s">
        <v>28</v>
      </c>
      <c r="N30" s="22" t="s">
        <v>89</v>
      </c>
      <c r="O30" s="33"/>
      <c r="P30" s="34"/>
      <c r="AL30" s="16" t="s">
        <v>41</v>
      </c>
    </row>
    <row r="31" spans="2:38" x14ac:dyDescent="0.25">
      <c r="B31" s="7">
        <v>16</v>
      </c>
      <c r="C31" s="22" t="s">
        <v>120</v>
      </c>
      <c r="D31" s="22" t="s">
        <v>124</v>
      </c>
      <c r="E31" s="22" t="s">
        <v>122</v>
      </c>
      <c r="F31" s="22" t="s">
        <v>166</v>
      </c>
      <c r="G31" s="22" t="s">
        <v>120</v>
      </c>
      <c r="H31" s="22" t="s">
        <v>120</v>
      </c>
      <c r="I31" s="22" t="s">
        <v>147</v>
      </c>
      <c r="J31" s="22" t="s">
        <v>116</v>
      </c>
      <c r="K31" s="22" t="s">
        <v>12</v>
      </c>
      <c r="L31" s="22" t="str">
        <f t="shared" si="0"/>
        <v>RDP_UAT_U052026-04__052026</v>
      </c>
      <c r="M31" s="22" t="s">
        <v>28</v>
      </c>
      <c r="N31" s="22" t="s">
        <v>89</v>
      </c>
      <c r="O31" s="33"/>
      <c r="P31" s="34"/>
      <c r="AL31" s="16" t="s">
        <v>42</v>
      </c>
    </row>
    <row r="32" spans="2:38" ht="30" x14ac:dyDescent="0.25">
      <c r="B32" s="7">
        <v>17</v>
      </c>
      <c r="C32" s="22" t="s">
        <v>120</v>
      </c>
      <c r="D32" s="22" t="s">
        <v>124</v>
      </c>
      <c r="E32" s="22" t="s">
        <v>122</v>
      </c>
      <c r="F32" s="22" t="s">
        <v>167</v>
      </c>
      <c r="G32" s="22" t="s">
        <v>130</v>
      </c>
      <c r="H32" s="32" t="s">
        <v>132</v>
      </c>
      <c r="I32" s="22" t="s">
        <v>148</v>
      </c>
      <c r="J32" s="22" t="s">
        <v>116</v>
      </c>
      <c r="K32" s="22" t="s">
        <v>12</v>
      </c>
      <c r="L32" s="22" t="str">
        <f t="shared" si="0"/>
        <v>RDP_UAT_U052026-04__052026</v>
      </c>
      <c r="M32" s="22" t="s">
        <v>28</v>
      </c>
      <c r="N32" s="22" t="s">
        <v>89</v>
      </c>
      <c r="O32" s="33"/>
      <c r="P32" s="34"/>
      <c r="AL32" s="16" t="s">
        <v>43</v>
      </c>
    </row>
    <row r="33" spans="2:38" ht="30" x14ac:dyDescent="0.25">
      <c r="B33" s="7">
        <v>18</v>
      </c>
      <c r="C33" s="22" t="s">
        <v>120</v>
      </c>
      <c r="D33" s="22" t="s">
        <v>124</v>
      </c>
      <c r="E33" s="22" t="s">
        <v>122</v>
      </c>
      <c r="F33" s="22" t="s">
        <v>168</v>
      </c>
      <c r="G33" s="22" t="s">
        <v>130</v>
      </c>
      <c r="H33" s="32" t="s">
        <v>133</v>
      </c>
      <c r="I33" s="22" t="s">
        <v>149</v>
      </c>
      <c r="J33" s="22" t="s">
        <v>116</v>
      </c>
      <c r="K33" s="22" t="s">
        <v>12</v>
      </c>
      <c r="L33" s="22" t="str">
        <f t="shared" si="0"/>
        <v>RDP_UAT_U052026-04__052026</v>
      </c>
      <c r="M33" s="22" t="s">
        <v>28</v>
      </c>
      <c r="N33" s="22" t="s">
        <v>89</v>
      </c>
      <c r="O33" s="33"/>
      <c r="P33" s="34"/>
      <c r="AL33" s="16" t="s">
        <v>44</v>
      </c>
    </row>
    <row r="34" spans="2:38" ht="30" x14ac:dyDescent="0.25">
      <c r="B34" s="7">
        <v>19</v>
      </c>
      <c r="C34" s="22" t="s">
        <v>120</v>
      </c>
      <c r="D34" s="22" t="s">
        <v>124</v>
      </c>
      <c r="E34" s="22" t="s">
        <v>122</v>
      </c>
      <c r="F34" s="22" t="s">
        <v>169</v>
      </c>
      <c r="G34" s="22" t="s">
        <v>130</v>
      </c>
      <c r="H34" s="32" t="s">
        <v>133</v>
      </c>
      <c r="I34" s="22" t="s">
        <v>150</v>
      </c>
      <c r="J34" s="22" t="s">
        <v>116</v>
      </c>
      <c r="K34" s="22" t="s">
        <v>12</v>
      </c>
      <c r="L34" s="22" t="str">
        <f t="shared" si="0"/>
        <v>RDP_UAT_U052026-04__052026</v>
      </c>
      <c r="M34" s="22" t="s">
        <v>28</v>
      </c>
      <c r="N34" s="22" t="s">
        <v>89</v>
      </c>
      <c r="O34" s="33"/>
      <c r="P34" s="34"/>
    </row>
    <row r="35" spans="2:38" ht="30" x14ac:dyDescent="0.25">
      <c r="B35" s="7">
        <v>20</v>
      </c>
      <c r="C35" s="22" t="s">
        <v>120</v>
      </c>
      <c r="D35" s="22" t="s">
        <v>124</v>
      </c>
      <c r="E35" s="22" t="s">
        <v>122</v>
      </c>
      <c r="F35" s="22" t="s">
        <v>170</v>
      </c>
      <c r="G35" s="22" t="s">
        <v>130</v>
      </c>
      <c r="H35" s="32" t="s">
        <v>134</v>
      </c>
      <c r="I35" s="22" t="s">
        <v>151</v>
      </c>
      <c r="J35" s="22" t="s">
        <v>116</v>
      </c>
      <c r="K35" s="22" t="s">
        <v>12</v>
      </c>
      <c r="L35" s="22" t="str">
        <f t="shared" si="0"/>
        <v>RDP_UAT_U052026-04__052026</v>
      </c>
      <c r="M35" s="22" t="s">
        <v>28</v>
      </c>
      <c r="N35" s="22" t="s">
        <v>89</v>
      </c>
      <c r="O35" s="33"/>
      <c r="P35" s="34"/>
    </row>
    <row r="36" spans="2:38" ht="30" x14ac:dyDescent="0.25">
      <c r="B36" s="7">
        <v>21</v>
      </c>
      <c r="C36" s="22" t="s">
        <v>120</v>
      </c>
      <c r="D36" s="22" t="s">
        <v>124</v>
      </c>
      <c r="E36" s="22" t="s">
        <v>122</v>
      </c>
      <c r="F36" s="22" t="s">
        <v>171</v>
      </c>
      <c r="G36" s="22" t="s">
        <v>130</v>
      </c>
      <c r="H36" s="32" t="s">
        <v>134</v>
      </c>
      <c r="I36" s="22" t="s">
        <v>152</v>
      </c>
      <c r="J36" s="22" t="s">
        <v>116</v>
      </c>
      <c r="K36" s="22" t="s">
        <v>12</v>
      </c>
      <c r="L36" s="22" t="str">
        <f t="shared" si="0"/>
        <v>RDP_UAT_U052026-04__052026</v>
      </c>
      <c r="M36" s="22" t="s">
        <v>28</v>
      </c>
      <c r="N36" s="22" t="s">
        <v>89</v>
      </c>
      <c r="O36" s="33"/>
      <c r="P36" s="34"/>
    </row>
    <row r="37" spans="2:38" ht="30" x14ac:dyDescent="0.25">
      <c r="B37" s="7">
        <v>22</v>
      </c>
      <c r="C37" s="22" t="s">
        <v>120</v>
      </c>
      <c r="D37" s="22" t="s">
        <v>124</v>
      </c>
      <c r="E37" s="22" t="s">
        <v>122</v>
      </c>
      <c r="F37" s="22" t="s">
        <v>172</v>
      </c>
      <c r="G37" s="22" t="s">
        <v>130</v>
      </c>
      <c r="H37" s="32" t="s">
        <v>135</v>
      </c>
      <c r="I37" s="22" t="s">
        <v>153</v>
      </c>
      <c r="J37" s="22" t="s">
        <v>116</v>
      </c>
      <c r="K37" s="22" t="s">
        <v>12</v>
      </c>
      <c r="L37" s="22" t="str">
        <f t="shared" si="0"/>
        <v>RDP_UAT_U052026-04__052026</v>
      </c>
      <c r="M37" s="22" t="s">
        <v>28</v>
      </c>
      <c r="N37" s="22" t="s">
        <v>89</v>
      </c>
      <c r="O37" s="33"/>
      <c r="P37" s="34"/>
    </row>
    <row r="38" spans="2:38" ht="30" x14ac:dyDescent="0.25">
      <c r="B38" s="7">
        <v>23</v>
      </c>
      <c r="C38" s="22" t="s">
        <v>120</v>
      </c>
      <c r="D38" s="22" t="s">
        <v>124</v>
      </c>
      <c r="E38" s="22" t="s">
        <v>122</v>
      </c>
      <c r="F38" s="22" t="s">
        <v>173</v>
      </c>
      <c r="G38" s="22" t="s">
        <v>130</v>
      </c>
      <c r="H38" s="32" t="s">
        <v>134</v>
      </c>
      <c r="I38" s="22" t="s">
        <v>154</v>
      </c>
      <c r="J38" s="22" t="s">
        <v>116</v>
      </c>
      <c r="K38" s="22" t="s">
        <v>12</v>
      </c>
      <c r="L38" s="22" t="str">
        <f t="shared" si="0"/>
        <v>RDP_UAT_U052026-04__052026</v>
      </c>
      <c r="M38" s="22" t="s">
        <v>28</v>
      </c>
      <c r="N38" s="22" t="s">
        <v>89</v>
      </c>
      <c r="O38" s="33"/>
      <c r="P38" s="34"/>
    </row>
    <row r="39" spans="2:38" ht="30" x14ac:dyDescent="0.25">
      <c r="B39" s="7">
        <v>24</v>
      </c>
      <c r="C39" s="22" t="s">
        <v>120</v>
      </c>
      <c r="D39" s="22" t="s">
        <v>124</v>
      </c>
      <c r="E39" s="22" t="s">
        <v>122</v>
      </c>
      <c r="F39" s="22" t="s">
        <v>176</v>
      </c>
      <c r="G39" s="22" t="s">
        <v>130</v>
      </c>
      <c r="H39" s="32" t="s">
        <v>135</v>
      </c>
      <c r="I39" s="22" t="s">
        <v>155</v>
      </c>
      <c r="J39" s="22" t="s">
        <v>116</v>
      </c>
      <c r="K39" s="22" t="s">
        <v>12</v>
      </c>
      <c r="L39" s="22" t="str">
        <f t="shared" si="0"/>
        <v>RDP_UAT_U052026-04__052026</v>
      </c>
      <c r="M39" s="22" t="s">
        <v>28</v>
      </c>
      <c r="N39" s="22" t="s">
        <v>89</v>
      </c>
      <c r="O39" s="33"/>
      <c r="P39" s="34"/>
    </row>
    <row r="40" spans="2:38" x14ac:dyDescent="0.25">
      <c r="B40" s="7">
        <v>25</v>
      </c>
      <c r="C40" s="22" t="s">
        <v>120</v>
      </c>
      <c r="D40" s="22" t="s">
        <v>124</v>
      </c>
      <c r="E40" s="22" t="s">
        <v>122</v>
      </c>
      <c r="F40" s="22" t="s">
        <v>177</v>
      </c>
      <c r="G40" s="22" t="s">
        <v>120</v>
      </c>
      <c r="H40" s="22" t="s">
        <v>120</v>
      </c>
      <c r="I40" s="22" t="s">
        <v>142</v>
      </c>
      <c r="J40" s="22" t="s">
        <v>116</v>
      </c>
      <c r="K40" s="22" t="s">
        <v>12</v>
      </c>
      <c r="L40" s="22" t="str">
        <f t="shared" si="0"/>
        <v>RDP_UAT_U052026-04__052026</v>
      </c>
      <c r="M40" s="22" t="s">
        <v>28</v>
      </c>
      <c r="N40" s="22" t="s">
        <v>89</v>
      </c>
      <c r="O40" s="33"/>
      <c r="P40" s="34"/>
      <c r="AL40" s="16" t="s">
        <v>66</v>
      </c>
    </row>
    <row r="41" spans="2:38" x14ac:dyDescent="0.25">
      <c r="B41" s="7">
        <v>26</v>
      </c>
      <c r="C41" s="22" t="s">
        <v>120</v>
      </c>
      <c r="D41" s="22" t="s">
        <v>124</v>
      </c>
      <c r="E41" s="22" t="s">
        <v>122</v>
      </c>
      <c r="F41" s="22" t="s">
        <v>180</v>
      </c>
      <c r="G41" s="22" t="s">
        <v>120</v>
      </c>
      <c r="H41" s="22" t="s">
        <v>120</v>
      </c>
      <c r="I41" s="22" t="s">
        <v>139</v>
      </c>
      <c r="J41" s="22" t="s">
        <v>116</v>
      </c>
      <c r="K41" s="22" t="s">
        <v>12</v>
      </c>
      <c r="L41" s="22" t="str">
        <f t="shared" si="0"/>
        <v>RDP_UAT_U052026-04__052026</v>
      </c>
      <c r="M41" s="22" t="s">
        <v>28</v>
      </c>
      <c r="N41" s="22" t="s">
        <v>89</v>
      </c>
      <c r="O41" s="33"/>
      <c r="P41" s="34"/>
      <c r="AL41" s="16" t="s">
        <v>67</v>
      </c>
    </row>
    <row r="42" spans="2:38" x14ac:dyDescent="0.25">
      <c r="B42" s="7">
        <v>27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33"/>
      <c r="P42" s="34"/>
      <c r="AL42" s="16" t="s">
        <v>68</v>
      </c>
    </row>
    <row r="43" spans="2:38" x14ac:dyDescent="0.25">
      <c r="B43" s="7">
        <v>28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33"/>
      <c r="P43" s="34"/>
      <c r="AL43" s="16" t="s">
        <v>44</v>
      </c>
    </row>
    <row r="44" spans="2:38" x14ac:dyDescent="0.25">
      <c r="B44" s="7">
        <v>29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33"/>
      <c r="P44" s="34"/>
    </row>
    <row r="45" spans="2:38" x14ac:dyDescent="0.25">
      <c r="B45" s="7">
        <v>30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33"/>
      <c r="P45" s="34"/>
    </row>
    <row r="46" spans="2:38" x14ac:dyDescent="0.25">
      <c r="B46" s="7">
        <v>31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33"/>
      <c r="P46" s="34"/>
    </row>
    <row r="47" spans="2:38" x14ac:dyDescent="0.25">
      <c r="B47" s="7">
        <v>32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33"/>
      <c r="P47" s="34"/>
      <c r="AL47" s="29" t="s">
        <v>89</v>
      </c>
    </row>
    <row r="48" spans="2:38" x14ac:dyDescent="0.25">
      <c r="B48" s="7">
        <v>33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33"/>
      <c r="P48" s="34"/>
      <c r="AL48" s="29" t="s">
        <v>90</v>
      </c>
    </row>
    <row r="49" spans="2:38" x14ac:dyDescent="0.25">
      <c r="B49" s="7">
        <v>34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33"/>
      <c r="P49" s="34"/>
      <c r="AL49" s="29" t="s">
        <v>91</v>
      </c>
    </row>
    <row r="50" spans="2:38" x14ac:dyDescent="0.25">
      <c r="B50" s="7">
        <v>35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33"/>
      <c r="P50" s="34"/>
      <c r="AL50" s="29" t="s">
        <v>92</v>
      </c>
    </row>
    <row r="51" spans="2:38" x14ac:dyDescent="0.25">
      <c r="B51" s="7">
        <v>36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33"/>
      <c r="P51" s="34"/>
      <c r="AL51" s="29" t="s">
        <v>93</v>
      </c>
    </row>
    <row r="52" spans="2:38" x14ac:dyDescent="0.25">
      <c r="B52" s="7">
        <v>37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33"/>
      <c r="P52" s="34"/>
      <c r="AL52" s="29" t="s">
        <v>94</v>
      </c>
    </row>
    <row r="53" spans="2:38" x14ac:dyDescent="0.25">
      <c r="B53" s="7">
        <v>38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33"/>
      <c r="P53" s="34"/>
    </row>
    <row r="54" spans="2:38" x14ac:dyDescent="0.25">
      <c r="B54" s="7">
        <v>39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33"/>
      <c r="P54" s="34"/>
    </row>
    <row r="55" spans="2:38" x14ac:dyDescent="0.25">
      <c r="B55" s="7">
        <v>40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33"/>
      <c r="P55" s="34"/>
    </row>
    <row r="56" spans="2:38" x14ac:dyDescent="0.25">
      <c r="B56" s="7">
        <v>41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33"/>
      <c r="P56" s="34"/>
    </row>
    <row r="57" spans="2:38" x14ac:dyDescent="0.25">
      <c r="B57" s="7">
        <v>42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33"/>
      <c r="P57" s="34"/>
    </row>
    <row r="58" spans="2:38" x14ac:dyDescent="0.25">
      <c r="B58" s="7">
        <v>43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33"/>
      <c r="P58" s="34"/>
    </row>
    <row r="59" spans="2:38" x14ac:dyDescent="0.25">
      <c r="B59" s="7">
        <v>44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33"/>
      <c r="P59" s="34"/>
    </row>
    <row r="60" spans="2:38" x14ac:dyDescent="0.25">
      <c r="B60" s="7">
        <v>45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33"/>
      <c r="P60" s="34"/>
    </row>
    <row r="61" spans="2:38" x14ac:dyDescent="0.25">
      <c r="B61" s="7">
        <v>46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33"/>
      <c r="P61" s="34"/>
    </row>
    <row r="62" spans="2:38" x14ac:dyDescent="0.25">
      <c r="B62" s="7">
        <v>47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33"/>
      <c r="P62" s="34"/>
    </row>
    <row r="63" spans="2:38" x14ac:dyDescent="0.25">
      <c r="B63" s="7">
        <v>48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33"/>
      <c r="P63" s="34"/>
    </row>
    <row r="64" spans="2:38" x14ac:dyDescent="0.25">
      <c r="B64" s="7">
        <v>49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33"/>
      <c r="P64" s="34"/>
    </row>
    <row r="65" spans="2:16" x14ac:dyDescent="0.25">
      <c r="B65" s="7">
        <v>50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33"/>
      <c r="P65" s="34"/>
    </row>
    <row r="66" spans="2:16" x14ac:dyDescent="0.25">
      <c r="B66" s="7">
        <v>51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33"/>
      <c r="P66" s="34"/>
    </row>
    <row r="67" spans="2:16" x14ac:dyDescent="0.25">
      <c r="B67" s="7">
        <v>52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33"/>
      <c r="P67" s="34"/>
    </row>
    <row r="68" spans="2:16" x14ac:dyDescent="0.25">
      <c r="B68" s="7">
        <v>53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33"/>
      <c r="P68" s="34"/>
    </row>
    <row r="69" spans="2:16" x14ac:dyDescent="0.25">
      <c r="B69" s="7">
        <v>54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33"/>
      <c r="P69" s="34"/>
    </row>
    <row r="70" spans="2:16" x14ac:dyDescent="0.25">
      <c r="B70" s="7">
        <v>55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33"/>
      <c r="P70" s="34"/>
    </row>
    <row r="71" spans="2:16" x14ac:dyDescent="0.25">
      <c r="B71" s="7">
        <v>56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33"/>
      <c r="P71" s="34"/>
    </row>
    <row r="72" spans="2:16" x14ac:dyDescent="0.25">
      <c r="B72" s="7">
        <v>57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33"/>
      <c r="P72" s="34"/>
    </row>
    <row r="73" spans="2:16" x14ac:dyDescent="0.25">
      <c r="B73" s="7">
        <v>58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33"/>
      <c r="P73" s="34"/>
    </row>
    <row r="74" spans="2:16" x14ac:dyDescent="0.25">
      <c r="B74" s="7">
        <v>59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33"/>
      <c r="P74" s="34"/>
    </row>
    <row r="75" spans="2:16" x14ac:dyDescent="0.25">
      <c r="B75" s="7">
        <v>60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33"/>
      <c r="P75" s="34"/>
    </row>
    <row r="76" spans="2:16" x14ac:dyDescent="0.25">
      <c r="B76" s="7">
        <v>61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33"/>
      <c r="P76" s="34"/>
    </row>
    <row r="77" spans="2:16" x14ac:dyDescent="0.25">
      <c r="B77" s="7">
        <v>62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33"/>
      <c r="P77" s="34"/>
    </row>
    <row r="78" spans="2:16" x14ac:dyDescent="0.25">
      <c r="B78" s="7">
        <v>63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33"/>
      <c r="P78" s="34"/>
    </row>
    <row r="79" spans="2:16" x14ac:dyDescent="0.25">
      <c r="B79" s="7">
        <v>64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33"/>
      <c r="P79" s="34"/>
    </row>
    <row r="80" spans="2:16" x14ac:dyDescent="0.25">
      <c r="B80" s="7">
        <v>65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33"/>
      <c r="P80" s="34"/>
    </row>
    <row r="81" spans="2:16" x14ac:dyDescent="0.25">
      <c r="B81" s="7">
        <v>66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33"/>
      <c r="P81" s="34"/>
    </row>
    <row r="82" spans="2:16" x14ac:dyDescent="0.25">
      <c r="B82" s="7">
        <v>67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33"/>
      <c r="P82" s="34"/>
    </row>
    <row r="83" spans="2:16" x14ac:dyDescent="0.25">
      <c r="B83" s="7">
        <v>68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33"/>
      <c r="P83" s="34"/>
    </row>
    <row r="84" spans="2:16" x14ac:dyDescent="0.25">
      <c r="B84" s="7">
        <v>69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33"/>
      <c r="P84" s="34"/>
    </row>
    <row r="85" spans="2:16" x14ac:dyDescent="0.25">
      <c r="B85" s="7">
        <v>70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33"/>
      <c r="P85" s="34"/>
    </row>
    <row r="86" spans="2:16" x14ac:dyDescent="0.25">
      <c r="B86" s="7">
        <v>71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33"/>
      <c r="P86" s="34"/>
    </row>
    <row r="87" spans="2:16" x14ac:dyDescent="0.25">
      <c r="B87" s="7">
        <v>72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33"/>
      <c r="P87" s="34"/>
    </row>
    <row r="88" spans="2:16" x14ac:dyDescent="0.25">
      <c r="B88" s="7">
        <v>73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33"/>
      <c r="P88" s="34"/>
    </row>
    <row r="89" spans="2:16" x14ac:dyDescent="0.25">
      <c r="B89" s="7">
        <v>74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33"/>
      <c r="P89" s="34"/>
    </row>
    <row r="90" spans="2:16" x14ac:dyDescent="0.25">
      <c r="B90" s="7">
        <v>75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33"/>
      <c r="P90" s="34"/>
    </row>
    <row r="91" spans="2:16" x14ac:dyDescent="0.25">
      <c r="B91" s="7">
        <v>76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33"/>
      <c r="P91" s="34"/>
    </row>
    <row r="92" spans="2:16" x14ac:dyDescent="0.25">
      <c r="B92" s="7">
        <v>77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33"/>
      <c r="P92" s="34"/>
    </row>
    <row r="93" spans="2:16" x14ac:dyDescent="0.25">
      <c r="B93" s="7">
        <v>78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33"/>
      <c r="P93" s="34"/>
    </row>
    <row r="94" spans="2:16" x14ac:dyDescent="0.25">
      <c r="B94" s="7">
        <v>79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33"/>
      <c r="P94" s="34"/>
    </row>
    <row r="95" spans="2:16" x14ac:dyDescent="0.25">
      <c r="B95" s="7">
        <v>80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33"/>
      <c r="P95" s="34"/>
    </row>
    <row r="96" spans="2:16" x14ac:dyDescent="0.25">
      <c r="B96" s="7">
        <v>81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33"/>
      <c r="P96" s="34"/>
    </row>
    <row r="97" spans="2:16" x14ac:dyDescent="0.25">
      <c r="B97" s="7">
        <v>82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33"/>
      <c r="P97" s="34"/>
    </row>
    <row r="98" spans="2:16" x14ac:dyDescent="0.25">
      <c r="B98" s="7">
        <v>83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33"/>
      <c r="P98" s="34"/>
    </row>
    <row r="99" spans="2:16" x14ac:dyDescent="0.25">
      <c r="B99" s="7">
        <v>84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33"/>
      <c r="P99" s="34"/>
    </row>
    <row r="100" spans="2:16" x14ac:dyDescent="0.25">
      <c r="B100" s="7">
        <v>85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33"/>
      <c r="P100" s="34"/>
    </row>
    <row r="101" spans="2:16" x14ac:dyDescent="0.25">
      <c r="B101" s="7">
        <v>86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33"/>
      <c r="P101" s="34"/>
    </row>
    <row r="102" spans="2:16" x14ac:dyDescent="0.25">
      <c r="B102" s="7">
        <v>87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33"/>
      <c r="P102" s="34"/>
    </row>
    <row r="103" spans="2:16" x14ac:dyDescent="0.25">
      <c r="B103" s="7">
        <v>88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33"/>
      <c r="P103" s="34"/>
    </row>
    <row r="104" spans="2:16" x14ac:dyDescent="0.25">
      <c r="B104" s="7">
        <v>89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33"/>
      <c r="P104" s="34"/>
    </row>
    <row r="105" spans="2:16" x14ac:dyDescent="0.25">
      <c r="B105" s="7">
        <v>90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33"/>
      <c r="P105" s="34"/>
    </row>
    <row r="106" spans="2:16" x14ac:dyDescent="0.25">
      <c r="B106" s="7">
        <v>91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33"/>
      <c r="P106" s="34"/>
    </row>
    <row r="107" spans="2:16" x14ac:dyDescent="0.25">
      <c r="B107" s="7">
        <v>92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33"/>
      <c r="P107" s="34"/>
    </row>
    <row r="108" spans="2:16" x14ac:dyDescent="0.25">
      <c r="B108" s="7">
        <v>93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33"/>
      <c r="P108" s="34"/>
    </row>
    <row r="109" spans="2:16" x14ac:dyDescent="0.25">
      <c r="B109" s="7">
        <v>94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33"/>
      <c r="P109" s="34"/>
    </row>
    <row r="110" spans="2:16" x14ac:dyDescent="0.25">
      <c r="B110" s="7">
        <v>95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33"/>
      <c r="P110" s="34"/>
    </row>
    <row r="111" spans="2:16" x14ac:dyDescent="0.25">
      <c r="B111" s="7">
        <v>96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33"/>
      <c r="P111" s="34"/>
    </row>
    <row r="112" spans="2:16" x14ac:dyDescent="0.25">
      <c r="B112" s="7">
        <v>97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33"/>
      <c r="P112" s="34"/>
    </row>
    <row r="113" spans="2:32" x14ac:dyDescent="0.25">
      <c r="B113" s="7">
        <v>98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33"/>
      <c r="P113" s="34"/>
    </row>
    <row r="114" spans="2:32" x14ac:dyDescent="0.25">
      <c r="B114" s="7">
        <v>99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33"/>
      <c r="P114" s="34"/>
    </row>
    <row r="115" spans="2:32" x14ac:dyDescent="0.25">
      <c r="B115" s="7">
        <v>100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33"/>
      <c r="P115" s="34"/>
    </row>
    <row r="117" spans="2:32" x14ac:dyDescent="0.25"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</sheetData>
  <sheetProtection algorithmName="SHA-512" hashValue="rMff2FR/njAdCReRbYT5Eu2ypdwBx0DtFYphEc0dN8eG7idC3G2HOYbBkkgPIdL3gXCw/Hd63iSvEQ4aciPOLQ==" saltValue="LuBB382x6T672u4BodU7GA==" spinCount="100000" sheet="1" objects="1" scenarios="1" selectLockedCells="1"/>
  <mergeCells count="113">
    <mergeCell ref="O22:P22"/>
    <mergeCell ref="O23:P23"/>
    <mergeCell ref="O24:P24"/>
    <mergeCell ref="O25:P25"/>
    <mergeCell ref="O26:P26"/>
    <mergeCell ref="B2:P2"/>
    <mergeCell ref="B4:B10"/>
    <mergeCell ref="C4:E10"/>
    <mergeCell ref="B14:B15"/>
    <mergeCell ref="C11:O11"/>
    <mergeCell ref="I14:P14"/>
    <mergeCell ref="B12:P12"/>
    <mergeCell ref="C13:P13"/>
    <mergeCell ref="G14:H14"/>
    <mergeCell ref="L6:O6"/>
    <mergeCell ref="C14:F14"/>
    <mergeCell ref="F4:P4"/>
    <mergeCell ref="O15:P15"/>
    <mergeCell ref="O32:P32"/>
    <mergeCell ref="O33:P33"/>
    <mergeCell ref="O34:P34"/>
    <mergeCell ref="O35:P35"/>
    <mergeCell ref="O36:P36"/>
    <mergeCell ref="O27:P27"/>
    <mergeCell ref="O28:P28"/>
    <mergeCell ref="O29:P29"/>
    <mergeCell ref="O30:P30"/>
    <mergeCell ref="O31:P31"/>
    <mergeCell ref="O42:P42"/>
    <mergeCell ref="O43:P43"/>
    <mergeCell ref="O44:P44"/>
    <mergeCell ref="O45:P45"/>
    <mergeCell ref="O46:P46"/>
    <mergeCell ref="O37:P37"/>
    <mergeCell ref="O38:P38"/>
    <mergeCell ref="O39:P39"/>
    <mergeCell ref="O40:P40"/>
    <mergeCell ref="O41:P41"/>
    <mergeCell ref="O52:P52"/>
    <mergeCell ref="O53:P53"/>
    <mergeCell ref="O54:P54"/>
    <mergeCell ref="O55:P55"/>
    <mergeCell ref="O56:P56"/>
    <mergeCell ref="O47:P47"/>
    <mergeCell ref="O48:P48"/>
    <mergeCell ref="O49:P49"/>
    <mergeCell ref="O50:P50"/>
    <mergeCell ref="O51:P51"/>
    <mergeCell ref="O62:P62"/>
    <mergeCell ref="O63:P63"/>
    <mergeCell ref="O64:P64"/>
    <mergeCell ref="O65:P65"/>
    <mergeCell ref="O66:P66"/>
    <mergeCell ref="O57:P57"/>
    <mergeCell ref="O58:P58"/>
    <mergeCell ref="O59:P59"/>
    <mergeCell ref="O60:P60"/>
    <mergeCell ref="O61:P61"/>
    <mergeCell ref="O72:P72"/>
    <mergeCell ref="O73:P73"/>
    <mergeCell ref="O74:P74"/>
    <mergeCell ref="O75:P75"/>
    <mergeCell ref="O76:P76"/>
    <mergeCell ref="O67:P67"/>
    <mergeCell ref="O68:P68"/>
    <mergeCell ref="O69:P69"/>
    <mergeCell ref="O70:P70"/>
    <mergeCell ref="O71:P71"/>
    <mergeCell ref="O82:P82"/>
    <mergeCell ref="O83:P83"/>
    <mergeCell ref="O84:P84"/>
    <mergeCell ref="O85:P85"/>
    <mergeCell ref="O86:P86"/>
    <mergeCell ref="O77:P77"/>
    <mergeCell ref="O78:P78"/>
    <mergeCell ref="O79:P79"/>
    <mergeCell ref="O80:P80"/>
    <mergeCell ref="O81:P81"/>
    <mergeCell ref="O101:P101"/>
    <mergeCell ref="O92:P92"/>
    <mergeCell ref="O93:P93"/>
    <mergeCell ref="O94:P94"/>
    <mergeCell ref="O95:P95"/>
    <mergeCell ref="O96:P96"/>
    <mergeCell ref="O87:P87"/>
    <mergeCell ref="O88:P88"/>
    <mergeCell ref="O89:P89"/>
    <mergeCell ref="O90:P90"/>
    <mergeCell ref="O91:P91"/>
    <mergeCell ref="O112:P112"/>
    <mergeCell ref="O113:P113"/>
    <mergeCell ref="O114:P114"/>
    <mergeCell ref="O115:P115"/>
    <mergeCell ref="O16:P16"/>
    <mergeCell ref="O17:P17"/>
    <mergeCell ref="O18:P18"/>
    <mergeCell ref="O19:P19"/>
    <mergeCell ref="O20:P20"/>
    <mergeCell ref="O21:P21"/>
    <mergeCell ref="O107:P107"/>
    <mergeCell ref="O108:P108"/>
    <mergeCell ref="O109:P109"/>
    <mergeCell ref="O110:P110"/>
    <mergeCell ref="O111:P111"/>
    <mergeCell ref="O102:P102"/>
    <mergeCell ref="O103:P103"/>
    <mergeCell ref="O104:P104"/>
    <mergeCell ref="O105:P105"/>
    <mergeCell ref="O106:P106"/>
    <mergeCell ref="O97:P97"/>
    <mergeCell ref="O98:P98"/>
    <mergeCell ref="O99:P99"/>
    <mergeCell ref="O100:P100"/>
  </mergeCells>
  <conditionalFormatting sqref="H9">
    <cfRule type="expression" dxfId="1" priority="1">
      <formula>$H$6="Crecimiento / Ampliación"</formula>
    </cfRule>
  </conditionalFormatting>
  <conditionalFormatting sqref="H10">
    <cfRule type="expression" dxfId="0" priority="2">
      <formula>$H$6="Proyecto Nuevo"</formula>
    </cfRule>
  </conditionalFormatting>
  <dataValidations count="5">
    <dataValidation type="list" allowBlank="1" showInputMessage="1" showErrorMessage="1" sqref="M16:M115" xr:uid="{A3DCF1EA-7609-4056-BAB2-B488D6BC398B}">
      <formula1>$AL$20:$AL$25</formula1>
    </dataValidation>
    <dataValidation type="list" allowBlank="1" showInputMessage="1" showErrorMessage="1" sqref="M7" xr:uid="{26377057-5DBF-48E0-99C7-0D2B5FF735AC}">
      <formula1>$AL$12:$AL$13</formula1>
    </dataValidation>
    <dataValidation type="list" allowBlank="1" showInputMessage="1" showErrorMessage="1" sqref="K16:K115" xr:uid="{ED8B99BD-7E3E-4E57-ADFA-A168E95FFB4A}">
      <formula1>$AL$5:$AL$10</formula1>
    </dataValidation>
    <dataValidation type="list" allowBlank="1" showInputMessage="1" showErrorMessage="1" sqref="N16:N115" xr:uid="{3A2A8D94-6EFE-4862-B544-C2488B58A55D}">
      <formula1>$AL$47:$AL$52</formula1>
    </dataValidation>
    <dataValidation type="list" allowBlank="1" showInputMessage="1" showErrorMessage="1" sqref="H6" xr:uid="{DC430838-4B5F-423C-8131-125D59493FB2}">
      <formula1>$AL$2:$AL$3</formula1>
    </dataValidation>
  </dataValidations>
  <pageMargins left="0.23622047244094491" right="0.23622047244094491" top="0.74803149606299213" bottom="0.74803149606299213" header="0.31496062992125984" footer="0.31496062992125984"/>
  <pageSetup paperSize="8" scale="6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5A02-B243-4A53-84F5-4D9C0DC7556D}">
  <dimension ref="B1:AI116"/>
  <sheetViews>
    <sheetView showGridLines="0" zoomScale="80" zoomScaleNormal="80" workbookViewId="0">
      <selection activeCell="F26" sqref="F26"/>
    </sheetView>
  </sheetViews>
  <sheetFormatPr baseColWidth="10" defaultRowHeight="15" x14ac:dyDescent="0.25"/>
  <cols>
    <col min="1" max="1" width="1.7109375" style="4" customWidth="1"/>
    <col min="2" max="2" width="5.7109375" style="4" customWidth="1"/>
    <col min="3" max="3" width="24.85546875" style="4" bestFit="1" customWidth="1"/>
    <col min="4" max="4" width="18.28515625" style="4" bestFit="1" customWidth="1"/>
    <col min="5" max="5" width="11.42578125" style="4"/>
    <col min="6" max="6" width="22.140625" style="4" bestFit="1" customWidth="1"/>
    <col min="7" max="7" width="11.42578125" style="4"/>
    <col min="8" max="9" width="18.28515625" style="4" bestFit="1" customWidth="1"/>
    <col min="10" max="10" width="32.7109375" style="4" bestFit="1" customWidth="1"/>
    <col min="11" max="11" width="21.140625" style="4" customWidth="1"/>
    <col min="12" max="13" width="25.42578125" style="4" bestFit="1" customWidth="1"/>
    <col min="14" max="14" width="17.7109375" style="4" bestFit="1" customWidth="1"/>
    <col min="15" max="24" width="17.7109375" style="4" customWidth="1"/>
    <col min="25" max="25" width="11.42578125" style="4"/>
    <col min="26" max="26" width="17.7109375" style="4" bestFit="1" customWidth="1"/>
    <col min="27" max="27" width="27.140625" style="4" bestFit="1" customWidth="1"/>
    <col min="28" max="16384" width="11.42578125" style="4"/>
  </cols>
  <sheetData>
    <row r="1" spans="2:35" ht="3.75" customHeight="1" x14ac:dyDescent="0.25"/>
    <row r="2" spans="2:35" ht="24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I2" s="4" t="s">
        <v>1</v>
      </c>
    </row>
    <row r="3" spans="2:35" ht="3" customHeight="1" x14ac:dyDescent="0.25"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3"/>
      <c r="AA3" s="3"/>
      <c r="AI3" s="4" t="s">
        <v>2</v>
      </c>
    </row>
    <row r="4" spans="2:35" x14ac:dyDescent="0.25">
      <c r="B4" s="36" t="s">
        <v>71</v>
      </c>
      <c r="C4" s="37"/>
      <c r="D4" s="37"/>
      <c r="E4" s="37"/>
      <c r="F4" s="57" t="s">
        <v>70</v>
      </c>
      <c r="G4" s="57"/>
      <c r="H4" s="57"/>
      <c r="I4" s="57"/>
      <c r="J4" s="57"/>
      <c r="K4" s="57"/>
      <c r="L4" s="57"/>
      <c r="M4" s="57"/>
      <c r="N4" s="57"/>
      <c r="O4" s="57"/>
      <c r="P4"/>
      <c r="Q4"/>
      <c r="R4" s="5"/>
      <c r="S4" s="5"/>
      <c r="T4" s="5"/>
      <c r="U4" s="5"/>
      <c r="V4" s="5"/>
      <c r="W4" s="5"/>
      <c r="X4" s="5"/>
      <c r="Y4" s="2"/>
    </row>
    <row r="5" spans="2:35" ht="3" customHeight="1" x14ac:dyDescent="0.25">
      <c r="B5" s="36"/>
      <c r="C5" s="37"/>
      <c r="D5" s="37"/>
      <c r="E5" s="3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I5" s="4" t="s">
        <v>11</v>
      </c>
    </row>
    <row r="6" spans="2:35" x14ac:dyDescent="0.25">
      <c r="B6" s="36"/>
      <c r="C6" s="37"/>
      <c r="D6" s="37"/>
      <c r="E6" s="37"/>
      <c r="F6" s="9" t="s">
        <v>4</v>
      </c>
      <c r="G6" s="59"/>
      <c r="H6" s="60"/>
      <c r="I6" s="6" t="s">
        <v>8</v>
      </c>
      <c r="J6" s="13"/>
      <c r="K6"/>
      <c r="L6" s="45" t="s">
        <v>10</v>
      </c>
      <c r="M6" s="46"/>
      <c r="N6" s="46"/>
      <c r="O6" s="47"/>
      <c r="Q6"/>
      <c r="AI6" s="4" t="s">
        <v>13</v>
      </c>
    </row>
    <row r="7" spans="2:35" x14ac:dyDescent="0.25">
      <c r="B7" s="36"/>
      <c r="C7" s="37"/>
      <c r="D7" s="37"/>
      <c r="E7" s="37"/>
      <c r="F7" s="9" t="s">
        <v>5</v>
      </c>
      <c r="G7" s="59"/>
      <c r="H7" s="60"/>
      <c r="I7" s="6" t="s">
        <v>9</v>
      </c>
      <c r="J7" s="14"/>
      <c r="K7"/>
      <c r="L7" s="11" t="s">
        <v>15</v>
      </c>
      <c r="M7" s="12"/>
      <c r="N7" s="11" t="s">
        <v>73</v>
      </c>
      <c r="O7" s="8"/>
      <c r="R7"/>
      <c r="AI7" s="4" t="s">
        <v>12</v>
      </c>
    </row>
    <row r="8" spans="2:35" x14ac:dyDescent="0.25">
      <c r="B8" s="36"/>
      <c r="C8" s="37"/>
      <c r="D8" s="37"/>
      <c r="E8" s="37"/>
      <c r="F8" s="9" t="s">
        <v>6</v>
      </c>
      <c r="G8" s="59"/>
      <c r="H8" s="60"/>
      <c r="I8"/>
      <c r="L8" s="11" t="s">
        <v>18</v>
      </c>
      <c r="M8" s="12"/>
      <c r="N8" s="11" t="s">
        <v>74</v>
      </c>
      <c r="O8" s="10"/>
      <c r="R8"/>
      <c r="AI8" s="4" t="s">
        <v>14</v>
      </c>
    </row>
    <row r="9" spans="2:35" x14ac:dyDescent="0.25">
      <c r="B9" s="36"/>
      <c r="C9" s="37"/>
      <c r="D9" s="37"/>
      <c r="E9" s="37"/>
      <c r="F9" s="9" t="s">
        <v>3</v>
      </c>
      <c r="G9" s="59"/>
      <c r="H9" s="60"/>
      <c r="L9" s="11" t="s">
        <v>19</v>
      </c>
      <c r="M9" s="12"/>
      <c r="N9"/>
      <c r="Q9"/>
    </row>
    <row r="10" spans="2:35" x14ac:dyDescent="0.25">
      <c r="B10" s="36"/>
      <c r="C10" s="37"/>
      <c r="D10" s="37"/>
      <c r="E10" s="37"/>
      <c r="F10" s="9" t="s">
        <v>7</v>
      </c>
      <c r="G10" s="59"/>
      <c r="H10" s="60"/>
      <c r="L10" s="11" t="s">
        <v>72</v>
      </c>
      <c r="M10" s="12"/>
      <c r="N10"/>
      <c r="Q10"/>
      <c r="AI10" s="4" t="s">
        <v>16</v>
      </c>
    </row>
    <row r="11" spans="2:35" ht="3" customHeight="1" x14ac:dyDescent="0.25"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AI11" s="4" t="s">
        <v>17</v>
      </c>
    </row>
    <row r="12" spans="2:35" ht="21" customHeight="1" x14ac:dyDescent="0.25">
      <c r="B12" s="58" t="s">
        <v>20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2:35" ht="3" customHeight="1" x14ac:dyDescent="0.25"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35" x14ac:dyDescent="0.25">
      <c r="B14" s="57" t="s">
        <v>37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 t="s">
        <v>48</v>
      </c>
      <c r="P14" s="57"/>
      <c r="Q14" s="57"/>
      <c r="R14" s="57"/>
      <c r="S14" s="57"/>
      <c r="T14" s="57"/>
      <c r="U14" s="57"/>
      <c r="V14" s="57"/>
      <c r="W14" s="57" t="s">
        <v>59</v>
      </c>
      <c r="X14" s="57"/>
      <c r="Y14" s="57"/>
      <c r="Z14" s="57"/>
      <c r="AA14" s="57"/>
    </row>
    <row r="15" spans="2:35" x14ac:dyDescent="0.25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39" t="s">
        <v>55</v>
      </c>
      <c r="P15" s="39"/>
      <c r="Q15" s="39"/>
      <c r="R15" s="39"/>
      <c r="S15" s="39"/>
      <c r="T15" s="56" t="s">
        <v>56</v>
      </c>
      <c r="U15" s="56"/>
      <c r="V15" s="56"/>
      <c r="W15" s="56" t="s">
        <v>55</v>
      </c>
      <c r="X15" s="56"/>
      <c r="Y15" s="56"/>
      <c r="Z15" s="56" t="s">
        <v>62</v>
      </c>
      <c r="AA15" s="56"/>
    </row>
    <row r="16" spans="2:35" x14ac:dyDescent="0.25">
      <c r="B16" s="15" t="s">
        <v>69</v>
      </c>
      <c r="C16" s="15" t="s">
        <v>33</v>
      </c>
      <c r="D16" s="15" t="s">
        <v>34</v>
      </c>
      <c r="E16" s="15" t="s">
        <v>35</v>
      </c>
      <c r="F16" s="15" t="s">
        <v>75</v>
      </c>
      <c r="G16" s="15" t="s">
        <v>21</v>
      </c>
      <c r="H16" s="15" t="s">
        <v>38</v>
      </c>
      <c r="I16" s="15" t="s">
        <v>57</v>
      </c>
      <c r="J16" s="15" t="s">
        <v>22</v>
      </c>
      <c r="K16" s="15" t="s">
        <v>26</v>
      </c>
      <c r="L16" s="15" t="s">
        <v>45</v>
      </c>
      <c r="M16" s="15" t="s">
        <v>46</v>
      </c>
      <c r="N16" s="15" t="s">
        <v>47</v>
      </c>
      <c r="O16" s="15" t="s">
        <v>50</v>
      </c>
      <c r="P16" s="15" t="s">
        <v>49</v>
      </c>
      <c r="Q16" s="15" t="s">
        <v>51</v>
      </c>
      <c r="R16" s="15" t="s">
        <v>53</v>
      </c>
      <c r="S16" s="15" t="s">
        <v>54</v>
      </c>
      <c r="T16" s="15" t="s">
        <v>52</v>
      </c>
      <c r="U16" s="15" t="s">
        <v>58</v>
      </c>
      <c r="V16" s="15" t="s">
        <v>36</v>
      </c>
      <c r="W16" s="15" t="s">
        <v>60</v>
      </c>
      <c r="X16" s="15" t="s">
        <v>50</v>
      </c>
      <c r="Y16" s="15" t="s">
        <v>49</v>
      </c>
      <c r="Z16" s="15" t="s">
        <v>61</v>
      </c>
      <c r="AA16" s="15" t="s">
        <v>63</v>
      </c>
      <c r="AI16" s="4" t="s">
        <v>23</v>
      </c>
    </row>
    <row r="17" spans="2:35" x14ac:dyDescent="0.25">
      <c r="B17" s="7">
        <v>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I17" s="4" t="s">
        <v>24</v>
      </c>
    </row>
    <row r="18" spans="2:35" x14ac:dyDescent="0.25">
      <c r="B18" s="7">
        <v>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I18" s="4" t="s">
        <v>25</v>
      </c>
    </row>
    <row r="19" spans="2:35" x14ac:dyDescent="0.25">
      <c r="B19" s="7">
        <v>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2:35" x14ac:dyDescent="0.25">
      <c r="B20" s="7">
        <v>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2:35" x14ac:dyDescent="0.25">
      <c r="B21" s="7">
        <v>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I21" s="4" t="s">
        <v>27</v>
      </c>
    </row>
    <row r="22" spans="2:35" x14ac:dyDescent="0.25">
      <c r="B22" s="7">
        <v>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I22" s="4" t="s">
        <v>28</v>
      </c>
    </row>
    <row r="23" spans="2:35" x14ac:dyDescent="0.25">
      <c r="B23" s="7">
        <v>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I23" s="4" t="s">
        <v>29</v>
      </c>
    </row>
    <row r="24" spans="2:35" x14ac:dyDescent="0.25">
      <c r="B24" s="7">
        <v>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I24" s="4" t="s">
        <v>32</v>
      </c>
    </row>
    <row r="25" spans="2:35" x14ac:dyDescent="0.25">
      <c r="B25" s="7">
        <v>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I25" s="4" t="s">
        <v>30</v>
      </c>
    </row>
    <row r="26" spans="2:35" x14ac:dyDescent="0.25">
      <c r="B26" s="7">
        <v>10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I26" s="4" t="s">
        <v>31</v>
      </c>
    </row>
    <row r="27" spans="2:35" x14ac:dyDescent="0.25">
      <c r="B27" s="7">
        <v>11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2:35" x14ac:dyDescent="0.25">
      <c r="B28" s="7">
        <v>12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2:35" x14ac:dyDescent="0.25">
      <c r="B29" s="7">
        <v>13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I29" s="4" t="s">
        <v>39</v>
      </c>
    </row>
    <row r="30" spans="2:35" x14ac:dyDescent="0.25">
      <c r="B30" s="7">
        <v>14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I30" s="4" t="s">
        <v>40</v>
      </c>
    </row>
    <row r="31" spans="2:35" x14ac:dyDescent="0.25">
      <c r="B31" s="7">
        <v>15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I31" s="4" t="s">
        <v>41</v>
      </c>
    </row>
    <row r="32" spans="2:35" x14ac:dyDescent="0.25">
      <c r="B32" s="7">
        <v>16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I32" s="4" t="s">
        <v>42</v>
      </c>
    </row>
    <row r="33" spans="2:35" x14ac:dyDescent="0.25">
      <c r="B33" s="7">
        <v>17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I33" s="4" t="s">
        <v>43</v>
      </c>
    </row>
    <row r="34" spans="2:35" x14ac:dyDescent="0.25">
      <c r="B34" s="7">
        <v>18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I34" s="4" t="s">
        <v>44</v>
      </c>
    </row>
    <row r="35" spans="2:35" x14ac:dyDescent="0.25">
      <c r="B35" s="7">
        <v>19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2:35" x14ac:dyDescent="0.25">
      <c r="B36" s="7">
        <v>20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2:35" x14ac:dyDescent="0.25">
      <c r="B37" s="7">
        <v>21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I37" s="4" t="s">
        <v>64</v>
      </c>
    </row>
    <row r="38" spans="2:35" x14ac:dyDescent="0.25">
      <c r="B38" s="7">
        <v>22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I38" s="4" t="s">
        <v>65</v>
      </c>
    </row>
    <row r="39" spans="2:35" x14ac:dyDescent="0.25">
      <c r="B39" s="7">
        <v>23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2:35" x14ac:dyDescent="0.25">
      <c r="B40" s="7">
        <v>24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2:35" x14ac:dyDescent="0.25">
      <c r="B41" s="7">
        <v>25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I41" s="4" t="s">
        <v>66</v>
      </c>
    </row>
    <row r="42" spans="2:35" x14ac:dyDescent="0.25">
      <c r="B42" s="7">
        <v>26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I42" s="4" t="s">
        <v>67</v>
      </c>
    </row>
    <row r="43" spans="2:35" x14ac:dyDescent="0.25">
      <c r="B43" s="7">
        <v>27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I43" s="4" t="s">
        <v>68</v>
      </c>
    </row>
    <row r="44" spans="2:35" x14ac:dyDescent="0.25">
      <c r="B44" s="7">
        <v>28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I44" s="4" t="s">
        <v>44</v>
      </c>
    </row>
    <row r="45" spans="2:35" x14ac:dyDescent="0.25">
      <c r="B45" s="7">
        <v>29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2:35" x14ac:dyDescent="0.25">
      <c r="B46" s="7">
        <v>30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2:35" x14ac:dyDescent="0.25">
      <c r="B47" s="7">
        <v>31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2:35" x14ac:dyDescent="0.25">
      <c r="B48" s="7">
        <v>32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2:27" x14ac:dyDescent="0.25">
      <c r="B49" s="7">
        <v>33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x14ac:dyDescent="0.25">
      <c r="B50" s="7">
        <v>34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2:27" x14ac:dyDescent="0.25">
      <c r="B51" s="7">
        <v>35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2:27" x14ac:dyDescent="0.25">
      <c r="B52" s="7">
        <v>36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2:27" x14ac:dyDescent="0.25">
      <c r="B53" s="7">
        <v>37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2:27" x14ac:dyDescent="0.25">
      <c r="B54" s="7">
        <v>38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2:27" x14ac:dyDescent="0.25">
      <c r="B55" s="7">
        <v>39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2:27" x14ac:dyDescent="0.25">
      <c r="B56" s="7">
        <v>40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2:27" x14ac:dyDescent="0.25">
      <c r="B57" s="7">
        <v>41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2:27" x14ac:dyDescent="0.25">
      <c r="B58" s="7">
        <v>42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2:27" x14ac:dyDescent="0.25">
      <c r="B59" s="7">
        <v>43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2:27" x14ac:dyDescent="0.25">
      <c r="B60" s="7">
        <v>44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2:27" x14ac:dyDescent="0.25">
      <c r="B61" s="7">
        <v>45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2:27" x14ac:dyDescent="0.25">
      <c r="B62" s="7">
        <v>46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2:27" x14ac:dyDescent="0.25">
      <c r="B63" s="7">
        <v>47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2:27" x14ac:dyDescent="0.25">
      <c r="B64" s="7">
        <v>48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2:27" x14ac:dyDescent="0.25">
      <c r="B65" s="7">
        <v>49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2:27" x14ac:dyDescent="0.25">
      <c r="B66" s="7">
        <v>50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2:27" x14ac:dyDescent="0.25">
      <c r="B67" s="7">
        <v>51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2:27" x14ac:dyDescent="0.25">
      <c r="B68" s="7">
        <v>52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2:27" x14ac:dyDescent="0.25">
      <c r="B69" s="7">
        <v>53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2:27" x14ac:dyDescent="0.25">
      <c r="B70" s="7">
        <v>54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2:27" x14ac:dyDescent="0.25">
      <c r="B71" s="7">
        <v>55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2:27" x14ac:dyDescent="0.25">
      <c r="B72" s="7">
        <v>56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2:27" x14ac:dyDescent="0.25">
      <c r="B73" s="7">
        <v>57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2:27" x14ac:dyDescent="0.25">
      <c r="B74" s="7">
        <v>58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2:27" x14ac:dyDescent="0.25">
      <c r="B75" s="7">
        <v>59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2:27" x14ac:dyDescent="0.25">
      <c r="B76" s="7">
        <v>60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2:27" x14ac:dyDescent="0.25">
      <c r="B77" s="7">
        <v>61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2:27" x14ac:dyDescent="0.25">
      <c r="B78" s="7">
        <v>62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2:27" x14ac:dyDescent="0.25">
      <c r="B79" s="7">
        <v>63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2:27" x14ac:dyDescent="0.25">
      <c r="B80" s="7">
        <v>64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2:27" x14ac:dyDescent="0.25">
      <c r="B81" s="7">
        <v>65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2:27" x14ac:dyDescent="0.25">
      <c r="B82" s="7">
        <v>66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2:27" x14ac:dyDescent="0.25">
      <c r="B83" s="7">
        <v>67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2:27" x14ac:dyDescent="0.25">
      <c r="B84" s="7">
        <v>68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2:27" x14ac:dyDescent="0.25">
      <c r="B85" s="7">
        <v>69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2:27" x14ac:dyDescent="0.25">
      <c r="B86" s="7">
        <v>70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2:27" x14ac:dyDescent="0.25">
      <c r="B87" s="7">
        <v>71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2:27" x14ac:dyDescent="0.25">
      <c r="B88" s="7">
        <v>72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2:27" x14ac:dyDescent="0.25">
      <c r="B89" s="7">
        <v>73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2:27" x14ac:dyDescent="0.25">
      <c r="B90" s="7">
        <v>74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2:27" x14ac:dyDescent="0.25">
      <c r="B91" s="7">
        <v>75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2:27" x14ac:dyDescent="0.25">
      <c r="B92" s="7">
        <v>76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2:27" x14ac:dyDescent="0.25">
      <c r="B93" s="7">
        <v>77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2:27" x14ac:dyDescent="0.25">
      <c r="B94" s="7">
        <v>78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2:27" x14ac:dyDescent="0.25">
      <c r="B95" s="7">
        <v>79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2:27" x14ac:dyDescent="0.25">
      <c r="B96" s="7">
        <v>80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2:27" x14ac:dyDescent="0.25">
      <c r="B97" s="7">
        <v>81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2:27" x14ac:dyDescent="0.25">
      <c r="B98" s="7">
        <v>82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2:27" x14ac:dyDescent="0.25">
      <c r="B99" s="7">
        <v>83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2:27" x14ac:dyDescent="0.25">
      <c r="B100" s="7">
        <v>84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2:27" x14ac:dyDescent="0.25">
      <c r="B101" s="7">
        <v>85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2:27" x14ac:dyDescent="0.25">
      <c r="B102" s="7">
        <v>86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2:27" x14ac:dyDescent="0.25">
      <c r="B103" s="7">
        <v>87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2:27" x14ac:dyDescent="0.25">
      <c r="B104" s="7">
        <v>88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2:27" x14ac:dyDescent="0.25">
      <c r="B105" s="7">
        <v>89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2:27" x14ac:dyDescent="0.25">
      <c r="B106" s="7">
        <v>90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2:27" x14ac:dyDescent="0.25">
      <c r="B107" s="7">
        <v>91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2:27" x14ac:dyDescent="0.25">
      <c r="B108" s="7">
        <v>92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2:27" x14ac:dyDescent="0.25">
      <c r="B109" s="7">
        <v>93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2:27" x14ac:dyDescent="0.25">
      <c r="B110" s="7">
        <v>94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2:27" x14ac:dyDescent="0.25">
      <c r="B111" s="7">
        <v>95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2:27" x14ac:dyDescent="0.25">
      <c r="B112" s="7">
        <v>96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2:27" x14ac:dyDescent="0.25">
      <c r="B113" s="7">
        <v>97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2:27" x14ac:dyDescent="0.25">
      <c r="B114" s="7">
        <v>98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2:27" x14ac:dyDescent="0.25">
      <c r="B115" s="7">
        <v>99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2:27" x14ac:dyDescent="0.25">
      <c r="B116" s="7">
        <v>100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</sheetData>
  <mergeCells count="20">
    <mergeCell ref="C11:N11"/>
    <mergeCell ref="C13:N13"/>
    <mergeCell ref="T15:V15"/>
    <mergeCell ref="O14:V14"/>
    <mergeCell ref="W15:Y15"/>
    <mergeCell ref="Z15:AA15"/>
    <mergeCell ref="W14:AA14"/>
    <mergeCell ref="B2:AA2"/>
    <mergeCell ref="B12:AA12"/>
    <mergeCell ref="B14:N15"/>
    <mergeCell ref="B4:B10"/>
    <mergeCell ref="G8:H8"/>
    <mergeCell ref="G9:H9"/>
    <mergeCell ref="O15:S15"/>
    <mergeCell ref="F4:O4"/>
    <mergeCell ref="C4:E10"/>
    <mergeCell ref="G6:H6"/>
    <mergeCell ref="G7:H7"/>
    <mergeCell ref="G10:H10"/>
    <mergeCell ref="L6:O6"/>
  </mergeCells>
  <dataValidations count="8">
    <dataValidation type="list" allowBlank="1" showInputMessage="1" showErrorMessage="1" sqref="G6" xr:uid="{130ABE41-1632-4797-A8FC-E75635DCC33D}">
      <formula1>$AI$2:$AI$3</formula1>
    </dataValidation>
    <dataValidation type="list" allowBlank="1" showInputMessage="1" showErrorMessage="1" sqref="J17:J116" xr:uid="{45C89A64-EA6C-4542-93B1-ADF221E7B446}">
      <formula1>$AI$16:$AI$18</formula1>
    </dataValidation>
    <dataValidation type="list" allowBlank="1" showInputMessage="1" showErrorMessage="1" sqref="G17:G116" xr:uid="{07A02506-A8B1-4FF7-A43E-1637DCE8488F}">
      <formula1>$AI$5:$AI$8</formula1>
    </dataValidation>
    <dataValidation type="list" allowBlank="1" showInputMessage="1" showErrorMessage="1" sqref="K17:K116" xr:uid="{DC969F20-E4E0-4FFF-9549-872EAA3E8947}">
      <formula1>$AI$21:$AI$26</formula1>
    </dataValidation>
    <dataValidation type="list" allowBlank="1" showInputMessage="1" showErrorMessage="1" sqref="H17:H116" xr:uid="{6410B32D-7AE5-447F-9A34-5FB54ADA019E}">
      <formula1>$AI$29:$AI$34</formula1>
    </dataValidation>
    <dataValidation type="list" allowBlank="1" showInputMessage="1" showErrorMessage="1" sqref="Z17:Z116" xr:uid="{DE215F66-B80B-4A3A-BF49-271BF8FBC4CD}">
      <formula1>$AI$37:$AI$38</formula1>
    </dataValidation>
    <dataValidation type="list" allowBlank="1" showInputMessage="1" showErrorMessage="1" sqref="AA17:AA116" xr:uid="{316817A9-5457-46C4-A37B-6DE029FE6495}">
      <formula1>$AI$41:$AI$44</formula1>
    </dataValidation>
    <dataValidation type="list" allowBlank="1" showInputMessage="1" showErrorMessage="1" sqref="M7" xr:uid="{C09F12F0-5BED-44BC-A4AF-63BD156AA499}">
      <formula1>$AI$10:$AI$11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Aprov. Cloud</vt:lpstr>
      <vt:lpstr>V1.0_Original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Cruz, Adderly Joel</dc:creator>
  <cp:lastModifiedBy>Alarcon Quispe, Kevin Axhel</cp:lastModifiedBy>
  <cp:lastPrinted>2026-04-24T00:51:30Z</cp:lastPrinted>
  <dcterms:created xsi:type="dcterms:W3CDTF">2024-02-27T17:10:07Z</dcterms:created>
  <dcterms:modified xsi:type="dcterms:W3CDTF">2026-05-14T22:20:03Z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riptosClassAi">
    <vt:lpwstr>1-Uso Interno</vt:lpwstr>
  </property>
  <property fmtid="{D5CDD505-2E9C-101B-9397-08002B2CF9AE}" pid="3" name="MSIP_Label_a700de85-0e06-400f-8fdd-8b7ef4ecce44_Enabled">
    <vt:lpwstr>True</vt:lpwstr>
  </property>
  <property fmtid="{D5CDD505-2E9C-101B-9397-08002B2CF9AE}" pid="4" name="MSIP_Label_a700de85-0e06-400f-8fdd-8b7ef4ecce44_SiteId">
    <vt:lpwstr>360bc517-7aac-4c17-9907-4c5f13a12289</vt:lpwstr>
  </property>
  <property fmtid="{D5CDD505-2E9C-101B-9397-08002B2CF9AE}" pid="5" name="MSIP_Label_a700de85-0e06-400f-8fdd-8b7ef4ecce44_SetDate">
    <vt:lpwstr>2026-08-21T04:50:32Z</vt:lpwstr>
  </property>
  <property fmtid="{D5CDD505-2E9C-101B-9397-08002B2CF9AE}" pid="6" name="MSIP_Label_a700de85-0e06-400f-8fdd-8b7ef4ecce44_Name">
    <vt:lpwstr>Uso Interno</vt:lpwstr>
  </property>
  <property fmtid="{D5CDD505-2E9C-101B-9397-08002B2CF9AE}" pid="7" name="MSIP_Label_a700de85-0e06-400f-8fdd-8b7ef4ecce44_ActionId">
    <vt:lpwstr>ceb2a571-dac0-45b2-be6f-bf5d77a58286</vt:lpwstr>
  </property>
  <property fmtid="{D5CDD505-2E9C-101B-9397-08002B2CF9AE}" pid="8" name="MSIP_Label_a700de85-0e06-400f-8fdd-8b7ef4ecce44_Removed">
    <vt:lpwstr>False</vt:lpwstr>
  </property>
  <property fmtid="{D5CDD505-2E9C-101B-9397-08002B2CF9AE}" pid="9" name="MSIP_Label_a700de85-0e06-400f-8fdd-8b7ef4ecce44_Parent">
    <vt:lpwstr/>
  </property>
  <property fmtid="{D5CDD505-2E9C-101B-9397-08002B2CF9AE}" pid="10" name="MSIP_Label_a700de85-0e06-400f-8fdd-8b7ef4ecce44_Extended_MSFT_Method">
    <vt:lpwstr>Standard</vt:lpwstr>
  </property>
  <property fmtid="{D5CDD505-2E9C-101B-9397-08002B2CF9AE}" pid="11" name="Sensitivity">
    <vt:lpwstr>Uso Interno</vt:lpwstr>
  </property>
</Properties>
</file>