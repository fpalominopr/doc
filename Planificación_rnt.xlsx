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x16265\Desktop\"/>
    </mc:Choice>
  </mc:AlternateContent>
  <xr:revisionPtr revIDLastSave="0" documentId="13_ncr:1_{C6A14B70-49C5-4ED1-94D6-4CF8281993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3" r:id="rId1"/>
    <sheet name="Hoja1" sheetId="4" r:id="rId2"/>
  </sheets>
  <definedNames>
    <definedName name="_xlnm._FilterDatabase" localSheetId="0" hidden="1">Sheet3!$A$1:$CF$624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4" i="3" l="1"/>
  <c r="I193" i="3" s="1"/>
  <c r="I216" i="3"/>
  <c r="I215" i="3" s="1"/>
  <c r="I200" i="3"/>
  <c r="I212" i="3"/>
  <c r="I210" i="3"/>
  <c r="I209" i="3" s="1"/>
  <c r="I207" i="3" s="1"/>
  <c r="I203" i="3"/>
  <c r="I45" i="3"/>
  <c r="I44" i="3" s="1"/>
  <c r="I3" i="3"/>
  <c r="I362" i="3"/>
  <c r="I354" i="3"/>
  <c r="I343" i="3"/>
  <c r="I335" i="3"/>
  <c r="I324" i="3"/>
  <c r="I315" i="3" s="1"/>
  <c r="I306" i="3"/>
  <c r="I298" i="3"/>
  <c r="I285" i="3"/>
  <c r="I284" i="3" s="1"/>
  <c r="I283" i="3" s="1"/>
  <c r="I277" i="3"/>
  <c r="I276" i="3" s="1"/>
  <c r="I275" i="3" s="1"/>
  <c r="I262" i="3"/>
  <c r="I261" i="3" s="1"/>
  <c r="I260" i="3" s="1"/>
  <c r="I267" i="3"/>
  <c r="I245" i="3"/>
  <c r="I236" i="3"/>
  <c r="I227" i="3"/>
  <c r="I184" i="3"/>
  <c r="I177" i="3" s="1"/>
  <c r="I171" i="3"/>
  <c r="I157" i="3"/>
  <c r="I149" i="3"/>
  <c r="I144" i="3"/>
  <c r="I139" i="3"/>
  <c r="I129" i="3"/>
  <c r="I121" i="3"/>
  <c r="I115" i="3"/>
  <c r="I109" i="3"/>
  <c r="I103" i="3"/>
  <c r="I97" i="3"/>
  <c r="I93" i="3"/>
  <c r="I89" i="3"/>
  <c r="I57" i="3"/>
  <c r="I67" i="3"/>
  <c r="I78" i="3"/>
  <c r="I192" i="3" l="1"/>
  <c r="I188" i="3" s="1"/>
  <c r="I256" i="3"/>
  <c r="I56" i="3"/>
  <c r="I88" i="3"/>
  <c r="I334" i="3"/>
  <c r="I353" i="3"/>
  <c r="I297" i="3"/>
  <c r="I40" i="3"/>
  <c r="I37" i="3"/>
  <c r="I35" i="3"/>
  <c r="I33" i="3"/>
  <c r="I29" i="3"/>
  <c r="I25" i="3"/>
  <c r="I14" i="3"/>
  <c r="I11" i="3"/>
  <c r="I9" i="3"/>
  <c r="H9" i="3"/>
  <c r="H3" i="3"/>
  <c r="H177" i="3"/>
  <c r="H157" i="3"/>
  <c r="H156" i="3" s="1"/>
  <c r="H88" i="3"/>
  <c r="H56" i="3" s="1"/>
  <c r="I2" i="3" l="1"/>
  <c r="H2" i="3"/>
</calcChain>
</file>

<file path=xl/sharedStrings.xml><?xml version="1.0" encoding="utf-8"?>
<sst xmlns="http://schemas.openxmlformats.org/spreadsheetml/2006/main" count="4350" uniqueCount="992">
  <si>
    <t>Bloque</t>
  </si>
  <si>
    <t>Indice</t>
  </si>
  <si>
    <t>Dependencia</t>
  </si>
  <si>
    <t>Solución Global Arquitectura ALM+FTP y Rentabilidad</t>
  </si>
  <si>
    <t>Aprobador</t>
  </si>
  <si>
    <t>Entregable</t>
  </si>
  <si>
    <t>Estado</t>
  </si>
  <si>
    <t>Responsable</t>
  </si>
  <si>
    <t>Fecha Inicio</t>
  </si>
  <si>
    <t>Fecha Fin</t>
  </si>
  <si>
    <t>1. Habilitadores técnicos</t>
  </si>
  <si>
    <t>1</t>
  </si>
  <si>
    <t>Habilitadores técnicos</t>
  </si>
  <si>
    <t>-</t>
  </si>
  <si>
    <t>IBK</t>
  </si>
  <si>
    <t>1.1</t>
  </si>
  <si>
    <t>Preparación</t>
  </si>
  <si>
    <t>Finalizado</t>
  </si>
  <si>
    <t>1.1.1</t>
  </si>
  <si>
    <t>Ambiente de trabajo (ordenadores)</t>
  </si>
  <si>
    <t>1.1.2</t>
  </si>
  <si>
    <t>Pendiente</t>
  </si>
  <si>
    <t>1.1.3</t>
  </si>
  <si>
    <t>Instalar SQL Developer para consultas</t>
  </si>
  <si>
    <t>1.1.4</t>
  </si>
  <si>
    <t>1.2</t>
  </si>
  <si>
    <t>Conectividad</t>
  </si>
  <si>
    <t>1.2.1</t>
  </si>
  <si>
    <t>Potenciación capacidad del servidor landing zone</t>
  </si>
  <si>
    <t>1.3</t>
  </si>
  <si>
    <t>Framework Cloud</t>
  </si>
  <si>
    <t>1.3.1</t>
  </si>
  <si>
    <t>Implementación Framework Sending Zone (enviador de datos a Cloud)</t>
  </si>
  <si>
    <t>1.3.2</t>
  </si>
  <si>
    <t>Implementación Framework Landing Zone (receptor de datos en Cloud)</t>
  </si>
  <si>
    <t>1.4</t>
  </si>
  <si>
    <t>Servicios AWS</t>
  </si>
  <si>
    <t>1.4.1</t>
  </si>
  <si>
    <t>Habilitar AWS S3</t>
  </si>
  <si>
    <t>1.4.2</t>
  </si>
  <si>
    <t>Habilitar AWS DynamoDB</t>
  </si>
  <si>
    <t>1.4.3</t>
  </si>
  <si>
    <t>Habilitar AWS Glue Interactive Session</t>
  </si>
  <si>
    <t>1.4.4</t>
  </si>
  <si>
    <t>Habilitar AWS Step Functions</t>
  </si>
  <si>
    <t>1.4.5</t>
  </si>
  <si>
    <t>Habilitar AWS Lambda</t>
  </si>
  <si>
    <t>1.4.6</t>
  </si>
  <si>
    <t>Habilitar AWS Redshift Serverless</t>
  </si>
  <si>
    <t>1.4.7</t>
  </si>
  <si>
    <t>Habilitar AWS QuickSight</t>
  </si>
  <si>
    <t>1.4.8</t>
  </si>
  <si>
    <t>Habilitar AWS CloudWatch</t>
  </si>
  <si>
    <t>1.4.9</t>
  </si>
  <si>
    <t>Habilitar AWS Athena</t>
  </si>
  <si>
    <t>1.4.10</t>
  </si>
  <si>
    <t>1.5</t>
  </si>
  <si>
    <t>Flujo de Datos</t>
  </si>
  <si>
    <t>1.5.1</t>
  </si>
  <si>
    <t>Habilitación envío de información de Framework Cloud a S3</t>
  </si>
  <si>
    <t>1.5.2</t>
  </si>
  <si>
    <t>Habilitación envío de información de AWS S3 a Repositorio común</t>
  </si>
  <si>
    <t>1.5.3</t>
  </si>
  <si>
    <t>Habilitación envío de información a motores comunes</t>
  </si>
  <si>
    <t>1.6</t>
  </si>
  <si>
    <t>Integración con motores</t>
  </si>
  <si>
    <t>1.6.1</t>
  </si>
  <si>
    <t>Habilitación de canal de comunicación de Repositorio con Motores RNT/FTP/ALM</t>
  </si>
  <si>
    <t>1.6.2</t>
  </si>
  <si>
    <t>Habilitación de configuraciones de conexión a Motores RNT/FTP/ALM</t>
  </si>
  <si>
    <t>1.6.3</t>
  </si>
  <si>
    <t>Habilitar conexión AWS a OFSAA (tenant)</t>
  </si>
  <si>
    <t>En proceso</t>
  </si>
  <si>
    <t>1.7</t>
  </si>
  <si>
    <t>Validación de data de fuentes oficiales</t>
  </si>
  <si>
    <t>1.7.1</t>
  </si>
  <si>
    <t>Accesos a tablas de rentabilidad para simulación de cuadres</t>
  </si>
  <si>
    <t>1.8</t>
  </si>
  <si>
    <t>Dependencias Funcionales</t>
  </si>
  <si>
    <t>MS</t>
  </si>
  <si>
    <t>1.8.1</t>
  </si>
  <si>
    <t>Finalización del Proyecto FTP</t>
  </si>
  <si>
    <t>1.9</t>
  </si>
  <si>
    <t>Gestión de Ambientes</t>
  </si>
  <si>
    <t>No iniciado</t>
  </si>
  <si>
    <t>1.9.1</t>
  </si>
  <si>
    <t>Aprobación del uso del ambiente desarrollo como certificación</t>
  </si>
  <si>
    <t>1.10</t>
  </si>
  <si>
    <t>1.10.1</t>
  </si>
  <si>
    <t>Adecuación de archivos fuente para pruebas</t>
  </si>
  <si>
    <t>1.11</t>
  </si>
  <si>
    <t>1.11.1</t>
  </si>
  <si>
    <t>2. Arquitectura</t>
  </si>
  <si>
    <t>2</t>
  </si>
  <si>
    <t>Definición de Arquitectura</t>
  </si>
  <si>
    <t>IBK/MS</t>
  </si>
  <si>
    <t>2.1</t>
  </si>
  <si>
    <t>Arquitectura Funcional</t>
  </si>
  <si>
    <t>2.1.1</t>
  </si>
  <si>
    <t>Levantamiento de requerimientos funcionales</t>
  </si>
  <si>
    <t>2.1.2</t>
  </si>
  <si>
    <t>Identificación de procesos de negocio</t>
  </si>
  <si>
    <t>2.1.3</t>
  </si>
  <si>
    <t>Identificación de fuentes y consumidores de información</t>
  </si>
  <si>
    <t>2.1.4</t>
  </si>
  <si>
    <t>Definición de flujos funcionales end-to-end</t>
  </si>
  <si>
    <t>2.1.5</t>
  </si>
  <si>
    <t>Definición de componentes funcionales de la solución</t>
  </si>
  <si>
    <t>2.1.6</t>
  </si>
  <si>
    <t>Revisión de la arquitectura funcional con las áreas involucradas</t>
  </si>
  <si>
    <t>2.1.7</t>
  </si>
  <si>
    <t>Ajustes finales y aprobación de la Arquitectura Funcional</t>
  </si>
  <si>
    <t>2.2</t>
  </si>
  <si>
    <t>Revisión y aprobación -TI</t>
  </si>
  <si>
    <t>Juan Carlos/Mauro de León</t>
  </si>
  <si>
    <t>2.3</t>
  </si>
  <si>
    <t>HITO:Arquitectura Funcional aprobada</t>
  </si>
  <si>
    <t>[Arquitectua Funcional] - OFSA RNT.pdf</t>
  </si>
  <si>
    <t>2.4</t>
  </si>
  <si>
    <t>Arquitectura Técnica</t>
  </si>
  <si>
    <t>2.4.1</t>
  </si>
  <si>
    <t>Levantamiento de requerimientos técnicos</t>
  </si>
  <si>
    <t>2.4.2</t>
  </si>
  <si>
    <t>Identificación de componentes tecnológicos</t>
  </si>
  <si>
    <t>2.4.3</t>
  </si>
  <si>
    <t>Definición de servicios AWS a utilizar (S3, Redshift, RDS, DynamoDB, QuickSight, etc.)</t>
  </si>
  <si>
    <t>2.4.4</t>
  </si>
  <si>
    <t>Definición de la arquitectura de integración con OFSAA</t>
  </si>
  <si>
    <t>2.4.5</t>
  </si>
  <si>
    <t>Definición de mecanismos de almacenamiento y procesamiento</t>
  </si>
  <si>
    <t>2.4.6</t>
  </si>
  <si>
    <t>Definición de ambientes (Desarrollo, QA, Producción)</t>
  </si>
  <si>
    <t>2.4.7</t>
  </si>
  <si>
    <t>Revisión técnica con Arquitectura TI</t>
  </si>
  <si>
    <t>2.4.8</t>
  </si>
  <si>
    <t>Ajustes finales y aprobación de la Arquitectura Técnica</t>
  </si>
  <si>
    <t>2.5</t>
  </si>
  <si>
    <t>2.6</t>
  </si>
  <si>
    <t>HITO: Arquitectura Técnica aprobado</t>
  </si>
  <si>
    <t>IBK_OFSA_ArquitecturaTecnica_Disenio_v1.3.drawio</t>
  </si>
  <si>
    <t>2.7</t>
  </si>
  <si>
    <t>Arquitectura de Red</t>
  </si>
  <si>
    <t>2.7.1</t>
  </si>
  <si>
    <t>Levantamiento de requerimientos de conectividad</t>
  </si>
  <si>
    <t>2.7.2</t>
  </si>
  <si>
    <t>Diseño de la topología de red</t>
  </si>
  <si>
    <t>2.7.3</t>
  </si>
  <si>
    <t>Definición de canales de comunicación</t>
  </si>
  <si>
    <t>2.7.4</t>
  </si>
  <si>
    <t>Definición de reglas de seguridad, puertos y firewall</t>
  </si>
  <si>
    <t>2.7.5</t>
  </si>
  <si>
    <t>Revisión con Infraestructura y Redes</t>
  </si>
  <si>
    <t>2.7.6</t>
  </si>
  <si>
    <t>Ajustes finales y aprobación de la Arquitectura de Red</t>
  </si>
  <si>
    <t>2.8</t>
  </si>
  <si>
    <t>2.9</t>
  </si>
  <si>
    <t>HITO: Arquitectura Red aprobado</t>
  </si>
  <si>
    <t>Documento con Arquitectura de Red</t>
  </si>
  <si>
    <t>3. Set up</t>
  </si>
  <si>
    <t>3</t>
  </si>
  <si>
    <t>Set Up</t>
  </si>
  <si>
    <t>3.1</t>
  </si>
  <si>
    <t>Fuentes de información</t>
  </si>
  <si>
    <t>3.1.1</t>
  </si>
  <si>
    <t>Verificación de datos operativos</t>
  </si>
  <si>
    <t>3.1.2</t>
  </si>
  <si>
    <t>Verificación de datos operativos contables</t>
  </si>
  <si>
    <t>3.1.3</t>
  </si>
  <si>
    <t>Verificación de datos contables</t>
  </si>
  <si>
    <t>3.2</t>
  </si>
  <si>
    <t>Dimensiones</t>
  </si>
  <si>
    <t>3.2.1</t>
  </si>
  <si>
    <t>Homologación de dimensiones</t>
  </si>
  <si>
    <t>3.2.2</t>
  </si>
  <si>
    <t>Homologación de jerarquías</t>
  </si>
  <si>
    <t>3.2.3</t>
  </si>
  <si>
    <t>Mallas de asignación</t>
  </si>
  <si>
    <t>3.3</t>
  </si>
  <si>
    <t>Motor de conciliación</t>
  </si>
  <si>
    <t>3.3.1</t>
  </si>
  <si>
    <t>Verificación de fuente</t>
  </si>
  <si>
    <t>3.3.2</t>
  </si>
  <si>
    <t>Verificación de datos de la contabilidad</t>
  </si>
  <si>
    <t>3.3.3</t>
  </si>
  <si>
    <t>3.3.4</t>
  </si>
  <si>
    <t>Ejercicio de conciliación</t>
  </si>
  <si>
    <t>3.3.5</t>
  </si>
  <si>
    <t>Identificación de particularidades y casuisticas de conciliación</t>
  </si>
  <si>
    <t>3.4</t>
  </si>
  <si>
    <t>Motor de contravaloración</t>
  </si>
  <si>
    <t>3.4.1</t>
  </si>
  <si>
    <t>3.4.2</t>
  </si>
  <si>
    <t>3.4.3</t>
  </si>
  <si>
    <t>3.4.4</t>
  </si>
  <si>
    <t>Ejercicio de contravaloración</t>
  </si>
  <si>
    <t>3.4.5</t>
  </si>
  <si>
    <t>Identificación de particularidades y casuisticas de contravaloración</t>
  </si>
  <si>
    <t>3.5</t>
  </si>
  <si>
    <t>Motos de saldos medios</t>
  </si>
  <si>
    <t>3.5.1</t>
  </si>
  <si>
    <t>3.5.2</t>
  </si>
  <si>
    <t>3.5.3</t>
  </si>
  <si>
    <t>3.5.4</t>
  </si>
  <si>
    <t>Ejercicio de saldos medios</t>
  </si>
  <si>
    <t>3.5.5</t>
  </si>
  <si>
    <t>Identificación de particularidades y casuisticas de saldos medios</t>
  </si>
  <si>
    <t>3.6</t>
  </si>
  <si>
    <t>Motor de acumulación y desacumulación</t>
  </si>
  <si>
    <t>3.6.1</t>
  </si>
  <si>
    <t>3.6.2</t>
  </si>
  <si>
    <t>3.6.3</t>
  </si>
  <si>
    <t>3.6.4</t>
  </si>
  <si>
    <t>Ejercicios de acumulación y desacumulación</t>
  </si>
  <si>
    <t>3.6.5</t>
  </si>
  <si>
    <t>Identificación de particularidades y casuisticas de acumulación y desacumulación</t>
  </si>
  <si>
    <t>3.7</t>
  </si>
  <si>
    <t>Motor FTP</t>
  </si>
  <si>
    <t>3.7.1</t>
  </si>
  <si>
    <t>3.7.2</t>
  </si>
  <si>
    <t>Detalle de datos operativos</t>
  </si>
  <si>
    <t>3.7.3</t>
  </si>
  <si>
    <t>Detalle de datos de cronogramas</t>
  </si>
  <si>
    <t>3.7.4</t>
  </si>
  <si>
    <t>Detalle de datos de campos operativos (Fecha de alta, fecha de vencimiento, monto de desembolso, etc)</t>
  </si>
  <si>
    <t>3.7.5</t>
  </si>
  <si>
    <t>Detalle de carga de curvas de TT's</t>
  </si>
  <si>
    <t>3.7.6</t>
  </si>
  <si>
    <t>Detalle de carga de tasas especiales</t>
  </si>
  <si>
    <t>3.7.7</t>
  </si>
  <si>
    <t>Detalle de carga de casos especiales</t>
  </si>
  <si>
    <t>3.8</t>
  </si>
  <si>
    <t>Motor ALM</t>
  </si>
  <si>
    <t>3.8.1</t>
  </si>
  <si>
    <t>3.8.2</t>
  </si>
  <si>
    <t>3.8.3</t>
  </si>
  <si>
    <t>3.8.4</t>
  </si>
  <si>
    <t>Detalle de datos de campos operativos para todos los intrumentos (Fecha de alta, fecha de vencimiento, monto de desembolso, etc)</t>
  </si>
  <si>
    <t>3.8.5</t>
  </si>
  <si>
    <t>Detalle de los datos auxiliares para clasificación de depósitos</t>
  </si>
  <si>
    <t>3.8.6</t>
  </si>
  <si>
    <t>Detalle de carga de curvas</t>
  </si>
  <si>
    <t>3.8.7</t>
  </si>
  <si>
    <t>Detalle del historíco a almacenar de los "Data Entry"</t>
  </si>
  <si>
    <t>3.8.8</t>
  </si>
  <si>
    <t>Detalle de la información trasaccional de Hipotecario</t>
  </si>
  <si>
    <t>3.8.9</t>
  </si>
  <si>
    <t>3.9</t>
  </si>
  <si>
    <t>Motor Costos</t>
  </si>
  <si>
    <t>3.9.1</t>
  </si>
  <si>
    <t>3.9.2</t>
  </si>
  <si>
    <t>Detalle de datos contables</t>
  </si>
  <si>
    <t>3.9.3</t>
  </si>
  <si>
    <t>Detalle de cuenta contable y centros de costo local</t>
  </si>
  <si>
    <t>3.9.4</t>
  </si>
  <si>
    <t>Detalle de fuentes de drivers</t>
  </si>
  <si>
    <t>3.10</t>
  </si>
  <si>
    <t>Motor Repartos</t>
  </si>
  <si>
    <t>3.10.1</t>
  </si>
  <si>
    <t>3.10.2</t>
  </si>
  <si>
    <t>3.10.3</t>
  </si>
  <si>
    <t>Identificación de bolsas cuenta contable / producto segmento</t>
  </si>
  <si>
    <t>3.10.4</t>
  </si>
  <si>
    <t>3.11</t>
  </si>
  <si>
    <t>Reportes</t>
  </si>
  <si>
    <t>3.11.1</t>
  </si>
  <si>
    <t>Set de reporte Financieros y de Control</t>
  </si>
  <si>
    <t>3.11.2</t>
  </si>
  <si>
    <t>Identificación de campos por cada reporte regulatorio de ALM</t>
  </si>
  <si>
    <t>3.11.3</t>
  </si>
  <si>
    <t>Identificación de campos por cada reporte gestión de ALM</t>
  </si>
  <si>
    <t>3.11.4</t>
  </si>
  <si>
    <t>Identificación de campos por por reportes adicionales</t>
  </si>
  <si>
    <t>3.12</t>
  </si>
  <si>
    <t>Revisión y aprobación del levantamiento - Finanzas</t>
  </si>
  <si>
    <t>Mario Carrasco</t>
  </si>
  <si>
    <t>3.13</t>
  </si>
  <si>
    <t>HITO: Requerimientos Funcionales Rentabilidad + FTP + ALM aprobado</t>
  </si>
  <si>
    <t>Documentación Funcional - Nueva Solución RNT + ALM + FTP vF.docx</t>
  </si>
  <si>
    <t>4. Modelo de Datos</t>
  </si>
  <si>
    <t>4</t>
  </si>
  <si>
    <t>Modelo de Datos</t>
  </si>
  <si>
    <t>4.1</t>
  </si>
  <si>
    <t>4.2</t>
  </si>
  <si>
    <t>Identificación de entidades de negocio</t>
  </si>
  <si>
    <t>4.3</t>
  </si>
  <si>
    <t>Definición de atributos por entidad</t>
  </si>
  <si>
    <t>4.4</t>
  </si>
  <si>
    <t>Definición de llaves primarias (PK)</t>
  </si>
  <si>
    <t>4.5</t>
  </si>
  <si>
    <t>Definición de llaves foráneas (FK)</t>
  </si>
  <si>
    <t>4.6</t>
  </si>
  <si>
    <t>4.7</t>
  </si>
  <si>
    <t>Revisión y validación del modelo lógico</t>
  </si>
  <si>
    <t>4.8</t>
  </si>
  <si>
    <t>4.9</t>
  </si>
  <si>
    <t>Revisión y validación del modelo físico</t>
  </si>
  <si>
    <t>4.10</t>
  </si>
  <si>
    <t>Revisión y aprobación del modelo de datos</t>
  </si>
  <si>
    <t>Eduard Mamani</t>
  </si>
  <si>
    <t>HITO: Modelo de Datos aprobado</t>
  </si>
  <si>
    <t>Documentación del Modelo de datos, modelos lógicos y físicos.</t>
  </si>
  <si>
    <t>5. Definición de Pruebas</t>
  </si>
  <si>
    <t>5</t>
  </si>
  <si>
    <t>Definición de Pruebas a ejecutar</t>
  </si>
  <si>
    <t>5.1</t>
  </si>
  <si>
    <t>Definición de plan de pruebas</t>
  </si>
  <si>
    <t>5.2</t>
  </si>
  <si>
    <t>Definición de criterios de aceptación</t>
  </si>
  <si>
    <t>5.3</t>
  </si>
  <si>
    <t>Revisión y aprobación - TI</t>
  </si>
  <si>
    <t>Alex Martin/Martin Sarachaga</t>
  </si>
  <si>
    <t>5.4</t>
  </si>
  <si>
    <t>Revisión y aprobación - ALM</t>
  </si>
  <si>
    <t>5.5</t>
  </si>
  <si>
    <t>Revisión y aprobación - Finanzas</t>
  </si>
  <si>
    <t>6. Repositorio Común</t>
  </si>
  <si>
    <t>6</t>
  </si>
  <si>
    <t>Repositorio Común</t>
  </si>
  <si>
    <t>6.1</t>
  </si>
  <si>
    <t xml:space="preserve">Definición funcional </t>
  </si>
  <si>
    <t>6.2</t>
  </si>
  <si>
    <t>Definición Técnica - Arquitectura AWS</t>
  </si>
  <si>
    <t>6.3</t>
  </si>
  <si>
    <t>Definición de repositorio común - Athena</t>
  </si>
  <si>
    <t>6.3.1</t>
  </si>
  <si>
    <t>Desarrollo del repositorio</t>
  </si>
  <si>
    <t>6.4</t>
  </si>
  <si>
    <t>7. Rentabilidad</t>
  </si>
  <si>
    <t>7</t>
  </si>
  <si>
    <t>Rentabilidad</t>
  </si>
  <si>
    <t>En Proceso</t>
  </si>
  <si>
    <t>7.1</t>
  </si>
  <si>
    <t>Prioridad 1</t>
  </si>
  <si>
    <t>7.1.1</t>
  </si>
  <si>
    <t>Historias de usuario</t>
  </si>
  <si>
    <t>7.1.2</t>
  </si>
  <si>
    <t>Diseño funcional y técnico - P1</t>
  </si>
  <si>
    <t>7.1.3</t>
  </si>
  <si>
    <t>Aprobación del diseño</t>
  </si>
  <si>
    <t>7.1.4</t>
  </si>
  <si>
    <t>Sandbox</t>
  </si>
  <si>
    <t>7.1.4.1</t>
  </si>
  <si>
    <t>Motor de Contravaloración</t>
  </si>
  <si>
    <t>7.1.4.2</t>
  </si>
  <si>
    <t>Motor de Conciliación</t>
  </si>
  <si>
    <t>Motor de Saldos Medios</t>
  </si>
  <si>
    <t>Motor de Acumulación y Desacumulación</t>
  </si>
  <si>
    <t>Ajustes Manuales</t>
  </si>
  <si>
    <t>7.1.4.6</t>
  </si>
  <si>
    <t>7.1.4.7</t>
  </si>
  <si>
    <t>Malla de procesos diarios y mensuales</t>
  </si>
  <si>
    <t>7.1.5</t>
  </si>
  <si>
    <t>Desarrollo</t>
  </si>
  <si>
    <t>No Iniciado</t>
  </si>
  <si>
    <t>7.1.5.1</t>
  </si>
  <si>
    <t>7.1.5.2</t>
  </si>
  <si>
    <t>7.1.5.3</t>
  </si>
  <si>
    <t>7.1.5.4</t>
  </si>
  <si>
    <t>7.1.5.5</t>
  </si>
  <si>
    <t>7.1.5.6</t>
  </si>
  <si>
    <t>7.1.5.7</t>
  </si>
  <si>
    <t>7.1.5.8</t>
  </si>
  <si>
    <t>Documentación para el pase a certificación</t>
  </si>
  <si>
    <t>7.1.6</t>
  </si>
  <si>
    <t>Certificación</t>
  </si>
  <si>
    <t>7.1.6.1</t>
  </si>
  <si>
    <t>7.1.6.2</t>
  </si>
  <si>
    <t>7.1.6.3</t>
  </si>
  <si>
    <t>7.1.6.4</t>
  </si>
  <si>
    <t>7.1.6.5</t>
  </si>
  <si>
    <t>7.1.6.6</t>
  </si>
  <si>
    <t>7.1.6.7</t>
  </si>
  <si>
    <t>7.1.6.8</t>
  </si>
  <si>
    <t>Documentación para el pase a producción</t>
  </si>
  <si>
    <t>7.1.7</t>
  </si>
  <si>
    <t>Producción</t>
  </si>
  <si>
    <t>7.1.7.1</t>
  </si>
  <si>
    <t>7.1.7.2</t>
  </si>
  <si>
    <t>7.1.7.3</t>
  </si>
  <si>
    <t>7.1.7.4</t>
  </si>
  <si>
    <t>7.1.7.5</t>
  </si>
  <si>
    <t>7.1.7.6</t>
  </si>
  <si>
    <t>7.1.7.7</t>
  </si>
  <si>
    <t>Mallas de procesos diarios y mensuales</t>
  </si>
  <si>
    <t>7.2</t>
  </si>
  <si>
    <t>Revisión y aprobación de resultados -TI</t>
  </si>
  <si>
    <t>7.3</t>
  </si>
  <si>
    <t>Revisión y aprobación de resultados - Finanzas</t>
  </si>
  <si>
    <t>7.4</t>
  </si>
  <si>
    <t>HITO: ETLs y código aprobado para el bloque P1</t>
  </si>
  <si>
    <t>Documentación de los desarrollos para la extracción, transformación y carga del bloque P1</t>
  </si>
  <si>
    <t>7.5</t>
  </si>
  <si>
    <t>Prioridad 2</t>
  </si>
  <si>
    <t>7.5.1</t>
  </si>
  <si>
    <t>7.5.2</t>
  </si>
  <si>
    <t>Diseño funcional y técnico - P2</t>
  </si>
  <si>
    <t>7.5.3</t>
  </si>
  <si>
    <t>7.5.4</t>
  </si>
  <si>
    <t>7.5.4.1</t>
  </si>
  <si>
    <t>Con Vencimiento - Modelo To Be</t>
  </si>
  <si>
    <t>Sin Vencimiento - Modelo To Be</t>
  </si>
  <si>
    <t>7.5.4.2</t>
  </si>
  <si>
    <t>FSD</t>
  </si>
  <si>
    <t>7.5.4.3</t>
  </si>
  <si>
    <t>Provisiones</t>
  </si>
  <si>
    <t>7.5.5</t>
  </si>
  <si>
    <t>7.5.5.1</t>
  </si>
  <si>
    <t>7.5.5.1.1</t>
  </si>
  <si>
    <t>Parametrización</t>
  </si>
  <si>
    <t>7.5.5.1.1.1</t>
  </si>
  <si>
    <t>7.5.5.1.1.2</t>
  </si>
  <si>
    <t>7.5.5.2</t>
  </si>
  <si>
    <t>7.5.5.3</t>
  </si>
  <si>
    <t>7.5.5.4</t>
  </si>
  <si>
    <t>7.5.6</t>
  </si>
  <si>
    <t>7.5.6.1</t>
  </si>
  <si>
    <t>7.5.6.1.1</t>
  </si>
  <si>
    <t>7.5.6.1.1.1</t>
  </si>
  <si>
    <t>7.5.6.1.1.2</t>
  </si>
  <si>
    <t>7.5.6.2</t>
  </si>
  <si>
    <t>7.5.6.3</t>
  </si>
  <si>
    <t>7.5.6.4</t>
  </si>
  <si>
    <t>7.5.7</t>
  </si>
  <si>
    <t>7.5.7.1</t>
  </si>
  <si>
    <t>7.5.7.1.1</t>
  </si>
  <si>
    <t>7.5.7.1.1.1</t>
  </si>
  <si>
    <t>7.5.7.1.1.2</t>
  </si>
  <si>
    <t>7.5.7.2</t>
  </si>
  <si>
    <t>7.5.7.3</t>
  </si>
  <si>
    <t>7.5.8</t>
  </si>
  <si>
    <t>7.5.9</t>
  </si>
  <si>
    <t>7.6</t>
  </si>
  <si>
    <t>HITO: ETLs y código aprobado para el bloque P2</t>
  </si>
  <si>
    <t>Documentación de los desarrollos para la extracción, transformación y carga del bloque P2</t>
  </si>
  <si>
    <t>7.7</t>
  </si>
  <si>
    <t>Prioridad 3</t>
  </si>
  <si>
    <t>7.7.1</t>
  </si>
  <si>
    <t>7.7.2</t>
  </si>
  <si>
    <t>Diseño funcional y técnico - P3</t>
  </si>
  <si>
    <t>7.7.3</t>
  </si>
  <si>
    <t>7.7.4</t>
  </si>
  <si>
    <t>7.7.4.1</t>
  </si>
  <si>
    <t>Motor de Costos</t>
  </si>
  <si>
    <t>7.7.4.1.1</t>
  </si>
  <si>
    <t>Configuración de jerarquías, buckets y familias funcionales</t>
  </si>
  <si>
    <t>7.7.4.1.2</t>
  </si>
  <si>
    <t>Parametrización de reglas de distribución, cascadas y excepciones</t>
  </si>
  <si>
    <t>7.7.4.1.3</t>
  </si>
  <si>
    <t>Parametrización de drivers y vigencias</t>
  </si>
  <si>
    <t>7.7.4.1.4</t>
  </si>
  <si>
    <t>Configuración de ejecución por escenario: Real, Presupuesto y Forecast</t>
  </si>
  <si>
    <t>7.7.4.1.5</t>
  </si>
  <si>
    <t>Generación de outputs y trazabilidad de costos distribuidos</t>
  </si>
  <si>
    <t>7.7.4.1.6</t>
  </si>
  <si>
    <t>Validación de cuadre, pruebas funcionales y ajustes</t>
  </si>
  <si>
    <t>7.7.4.1.7</t>
  </si>
  <si>
    <t>Habilitación de información para reportería / BI</t>
  </si>
  <si>
    <t>7.7.4.2</t>
  </si>
  <si>
    <t>PPTO</t>
  </si>
  <si>
    <t>7.7.4.2.1</t>
  </si>
  <si>
    <t>Parametrización de estructura objetivo</t>
  </si>
  <si>
    <t>7.7.4.2.2</t>
  </si>
  <si>
    <t>Parametrización de drivers proyectados</t>
  </si>
  <si>
    <t>7.7.4.2.3</t>
  </si>
  <si>
    <t>Parametrización de reglas del flujo paralelo</t>
  </si>
  <si>
    <t>7.7.4.2.4</t>
  </si>
  <si>
    <t>Configuración de corrida Presupuesto / Forecast</t>
  </si>
  <si>
    <t>7.7.4.2.5</t>
  </si>
  <si>
    <t>Gestión de versiones presupuestales</t>
  </si>
  <si>
    <t>7.7.4.2.6</t>
  </si>
  <si>
    <t>Validación y cuadre Presupuesto / Forecast</t>
  </si>
  <si>
    <t>7.7.4.2.7</t>
  </si>
  <si>
    <t>Generación de salidas Presupuesto / Forecast</t>
  </si>
  <si>
    <t>7.7.4.2.8</t>
  </si>
  <si>
    <t>Disponibilización para reportería presupuestal</t>
  </si>
  <si>
    <t>7.7.5</t>
  </si>
  <si>
    <t>7.7.5.1</t>
  </si>
  <si>
    <t>7.7.5.1.1</t>
  </si>
  <si>
    <t>7.7.5.1.2</t>
  </si>
  <si>
    <t>7.7.5.1.3</t>
  </si>
  <si>
    <t>7.7.5.1.4</t>
  </si>
  <si>
    <t>7.7.5.1.5</t>
  </si>
  <si>
    <t>7.7.5.1.6</t>
  </si>
  <si>
    <t>7.7.5.1.7</t>
  </si>
  <si>
    <t>7.7.5.2</t>
  </si>
  <si>
    <t>7.7.5.2.1</t>
  </si>
  <si>
    <t>7.7.5.2.2</t>
  </si>
  <si>
    <t>7.7.5.2.3</t>
  </si>
  <si>
    <t>7.7.5.2.4</t>
  </si>
  <si>
    <t>7.7.5.2.5</t>
  </si>
  <si>
    <t>7.7.5.2.6</t>
  </si>
  <si>
    <t>7.7.5.2.7</t>
  </si>
  <si>
    <t>7.7.5.2.8</t>
  </si>
  <si>
    <t>7.7.5.3</t>
  </si>
  <si>
    <t>7.7.6</t>
  </si>
  <si>
    <t>7.7.6.1</t>
  </si>
  <si>
    <t>7.7.6.1.1</t>
  </si>
  <si>
    <t>7.7.6.1.2</t>
  </si>
  <si>
    <t>7.7.6.1.3</t>
  </si>
  <si>
    <t>7.7.6.1.4</t>
  </si>
  <si>
    <t>7.7.6.1.5</t>
  </si>
  <si>
    <t>7.7.6.1.6</t>
  </si>
  <si>
    <t>7.7.6.1.7</t>
  </si>
  <si>
    <t>7.7.6.2</t>
  </si>
  <si>
    <t>7.7.6.2.1</t>
  </si>
  <si>
    <t>7.7.6.2.2</t>
  </si>
  <si>
    <t>7.7.6.2.3</t>
  </si>
  <si>
    <t>7.7.6.2.4</t>
  </si>
  <si>
    <t>7.7.6.2.5</t>
  </si>
  <si>
    <t>7.7.6.2.6</t>
  </si>
  <si>
    <t>7.7.6.2.7</t>
  </si>
  <si>
    <t>7.7.6.2.8</t>
  </si>
  <si>
    <t>7.7.6.3</t>
  </si>
  <si>
    <t>7.7.7</t>
  </si>
  <si>
    <t>7.7.7.1</t>
  </si>
  <si>
    <t>7.7.7.1.1</t>
  </si>
  <si>
    <t>7.7.7.1.2</t>
  </si>
  <si>
    <t>7.7.7.1.3</t>
  </si>
  <si>
    <t>7.7.7.1.4</t>
  </si>
  <si>
    <t>7.7.7.1.5</t>
  </si>
  <si>
    <t>7.7.7.1.6</t>
  </si>
  <si>
    <t>7.7.7.1.7</t>
  </si>
  <si>
    <t>7.7.7.2</t>
  </si>
  <si>
    <t>7.7.7.2.1</t>
  </si>
  <si>
    <t>7.7.7.2.2</t>
  </si>
  <si>
    <t>7.7.7.2.3</t>
  </si>
  <si>
    <t>7.7.7.2.4</t>
  </si>
  <si>
    <t>7.7.7.2.5</t>
  </si>
  <si>
    <t>7.7.7.2.6</t>
  </si>
  <si>
    <t>7.7.7.2.7</t>
  </si>
  <si>
    <t>7.7.7.2.8</t>
  </si>
  <si>
    <t>7.7.8</t>
  </si>
  <si>
    <t>7.7.9</t>
  </si>
  <si>
    <t>7.8</t>
  </si>
  <si>
    <t>HITO: ETLs y código aprobado para el bloque P3</t>
  </si>
  <si>
    <t>Documentación de los desarrollos para la extracción, transformación y carga del bloque P3</t>
  </si>
  <si>
    <t>7.9</t>
  </si>
  <si>
    <t>Prioridad 4</t>
  </si>
  <si>
    <t>7.9.1</t>
  </si>
  <si>
    <t>7.9.2</t>
  </si>
  <si>
    <t>Diseño funcional y técnico - P4</t>
  </si>
  <si>
    <t>7.9.3</t>
  </si>
  <si>
    <t>7.9.4</t>
  </si>
  <si>
    <t>7.9.4.1</t>
  </si>
  <si>
    <t>Motor de Repartos</t>
  </si>
  <si>
    <t>7.9.4.1.1</t>
  </si>
  <si>
    <t>Parametrización de reglas de reparto</t>
  </si>
  <si>
    <t>7.9.4.1.2</t>
  </si>
  <si>
    <t>Parametrización de drivers de reparto</t>
  </si>
  <si>
    <t>7.9.4.1.3</t>
  </si>
  <si>
    <t>Configuración de secuencia de ejecución</t>
  </si>
  <si>
    <t>7.9.4.1.4</t>
  </si>
  <si>
    <t>Validación de cuadre y conservación de importes</t>
  </si>
  <si>
    <t>7.9.4.1.5</t>
  </si>
  <si>
    <t>Generación de salida trazable de repartos</t>
  </si>
  <si>
    <t>7.9.4.1.6</t>
  </si>
  <si>
    <t>Disponibilización para reportería y explotación</t>
  </si>
  <si>
    <t>7.9.4.2</t>
  </si>
  <si>
    <t>INOF</t>
  </si>
  <si>
    <t>7.9.4.3</t>
  </si>
  <si>
    <t>Resultados</t>
  </si>
  <si>
    <t>7.9.5</t>
  </si>
  <si>
    <t>7.9.5.1</t>
  </si>
  <si>
    <t>7.9.5.1.1</t>
  </si>
  <si>
    <t>7.9.5.1.2</t>
  </si>
  <si>
    <t>7.9.5.1.3</t>
  </si>
  <si>
    <t>7.9.5.1.4</t>
  </si>
  <si>
    <t>7.9.5.1.5</t>
  </si>
  <si>
    <t>7.9.5.1.6</t>
  </si>
  <si>
    <t>7.9.5.2</t>
  </si>
  <si>
    <t>7.9.5.3</t>
  </si>
  <si>
    <t>7.9.5.4</t>
  </si>
  <si>
    <t>7.9.6</t>
  </si>
  <si>
    <t>7.9.6.1</t>
  </si>
  <si>
    <t>7.9.6.1.1</t>
  </si>
  <si>
    <t>7.9.6.1.2</t>
  </si>
  <si>
    <t>7.9.6.1.3</t>
  </si>
  <si>
    <t>7.9.6.1.4</t>
  </si>
  <si>
    <t>7.9.6.1.5</t>
  </si>
  <si>
    <t>7.9.6.1.6</t>
  </si>
  <si>
    <t>7.9.6.2</t>
  </si>
  <si>
    <t>7.9.6.3</t>
  </si>
  <si>
    <t>7.9.6.4</t>
  </si>
  <si>
    <t>7.9.7</t>
  </si>
  <si>
    <t>7.9.7.1</t>
  </si>
  <si>
    <t>7.9.7.1.1</t>
  </si>
  <si>
    <t>7.9.7.1.2</t>
  </si>
  <si>
    <t>7.9.7.1.3</t>
  </si>
  <si>
    <t>7.9.7.1.4</t>
  </si>
  <si>
    <t>7.9.7.1.5</t>
  </si>
  <si>
    <t>7.9.7.1.6</t>
  </si>
  <si>
    <t>7.9.7.2</t>
  </si>
  <si>
    <t>7.9.7.3</t>
  </si>
  <si>
    <t>7.9.7.4</t>
  </si>
  <si>
    <t>7.9.7.5</t>
  </si>
  <si>
    <t>7.10</t>
  </si>
  <si>
    <t>HITO: ETLs y código aprobado para el bloque P4</t>
  </si>
  <si>
    <t>Documentación de los desarrollos para la extracción, transformación y carga del bloque P4</t>
  </si>
  <si>
    <t>8. ALM</t>
  </si>
  <si>
    <t>ALM</t>
  </si>
  <si>
    <t>9.Reporting Finanzas</t>
  </si>
  <si>
    <t>7.11</t>
  </si>
  <si>
    <t>Reporting Finanzas</t>
  </si>
  <si>
    <t>7.11.1</t>
  </si>
  <si>
    <t>Definición funcional del reporte</t>
  </si>
  <si>
    <t>7.11.2</t>
  </si>
  <si>
    <t>Definición del modelo de información y mapeo</t>
  </si>
  <si>
    <t>7.11.3</t>
  </si>
  <si>
    <t>7.11.3.1</t>
  </si>
  <si>
    <t>Desarrollo del reporte</t>
  </si>
  <si>
    <t>7.11.4</t>
  </si>
  <si>
    <t>7.11.4.1</t>
  </si>
  <si>
    <t>Validación técnica e integración</t>
  </si>
  <si>
    <t>7.11.4.2</t>
  </si>
  <si>
    <t>Preparación para certificación</t>
  </si>
  <si>
    <t>7.11.4.3</t>
  </si>
  <si>
    <t>7.11.5</t>
  </si>
  <si>
    <t>7.11.5.1</t>
  </si>
  <si>
    <t>Ejecución de pruebas funcionales</t>
  </si>
  <si>
    <t>7.11.5.2</t>
  </si>
  <si>
    <t>Validación y conformidad del usuario</t>
  </si>
  <si>
    <t>7.11.5.3</t>
  </si>
  <si>
    <t>Resolución de observaciones</t>
  </si>
  <si>
    <t>7.11.5.4</t>
  </si>
  <si>
    <t>7.11.6</t>
  </si>
  <si>
    <t>7.11.6.1</t>
  </si>
  <si>
    <t>Despliegue a Producción</t>
  </si>
  <si>
    <t>7.11.6.2</t>
  </si>
  <si>
    <t>Validación post implementación</t>
  </si>
  <si>
    <t>7.11.6.3</t>
  </si>
  <si>
    <t>Estabilización</t>
  </si>
  <si>
    <t>7.11.7</t>
  </si>
  <si>
    <t>7.11.8</t>
  </si>
  <si>
    <t>7.11.9</t>
  </si>
  <si>
    <t>HITO: Reportes de Finanzas aprobados puestos a producción</t>
  </si>
  <si>
    <t>Documentación de los reportes de Finanzas</t>
  </si>
  <si>
    <t>10. Reporting Control Finanzas</t>
  </si>
  <si>
    <t>Reporting Control Finanzas</t>
  </si>
  <si>
    <t>8.1</t>
  </si>
  <si>
    <t>8.2</t>
  </si>
  <si>
    <t>8.2.1</t>
  </si>
  <si>
    <t>8.2.1.1</t>
  </si>
  <si>
    <t>Desarrollo de reporte de rechazos</t>
  </si>
  <si>
    <t>8.2.1.2</t>
  </si>
  <si>
    <t>Desarrollo de reporte conciliación</t>
  </si>
  <si>
    <t>8.2.1.3</t>
  </si>
  <si>
    <t>Desarrollo de reporte tendencia de saldos y movimientos</t>
  </si>
  <si>
    <t>8.2.2</t>
  </si>
  <si>
    <t>8.2.2.1</t>
  </si>
  <si>
    <t>8.2.2.2</t>
  </si>
  <si>
    <t>8.2.2.3</t>
  </si>
  <si>
    <t>8.2.3</t>
  </si>
  <si>
    <t>8.2.3.1</t>
  </si>
  <si>
    <t>8.2.3.2</t>
  </si>
  <si>
    <t>8.2.3.3</t>
  </si>
  <si>
    <t>8.2.3.4</t>
  </si>
  <si>
    <t>8.2.4</t>
  </si>
  <si>
    <t>8.2.4.1</t>
  </si>
  <si>
    <t>8.2.4.2</t>
  </si>
  <si>
    <t>8.2.4.3</t>
  </si>
  <si>
    <t>8.3</t>
  </si>
  <si>
    <t>8.4</t>
  </si>
  <si>
    <t>8.5</t>
  </si>
  <si>
    <t>HITO: Reportes de Control Finanzas aprobados puestos a producción</t>
  </si>
  <si>
    <t>Documentación de los reportes de Control Finanzas</t>
  </si>
  <si>
    <t>11. Reporting ALM - Regulatorio</t>
  </si>
  <si>
    <t>Reporting ALM - Regulatorio</t>
  </si>
  <si>
    <t>9.1</t>
  </si>
  <si>
    <t>9.1.1</t>
  </si>
  <si>
    <t>Desarrollo (GER y VPR)</t>
  </si>
  <si>
    <t>9.2</t>
  </si>
  <si>
    <t>9.2.1</t>
  </si>
  <si>
    <t>9.2.2</t>
  </si>
  <si>
    <t>9.2.3</t>
  </si>
  <si>
    <t>9.3</t>
  </si>
  <si>
    <t>9.3.1</t>
  </si>
  <si>
    <t>9.3.2</t>
  </si>
  <si>
    <t>9.3.3</t>
  </si>
  <si>
    <t>9.3.4</t>
  </si>
  <si>
    <t>9.4</t>
  </si>
  <si>
    <t>9.4.1</t>
  </si>
  <si>
    <t>9.4.2</t>
  </si>
  <si>
    <t>9.4.3</t>
  </si>
  <si>
    <t>9.5</t>
  </si>
  <si>
    <t>9.6</t>
  </si>
  <si>
    <t>9.7</t>
  </si>
  <si>
    <t>HITO: Reportes de ALM Regulatorio aprobados puestos a producción</t>
  </si>
  <si>
    <t>Documentación de los reportes de ALM Regulatorio</t>
  </si>
  <si>
    <t>12. Reporting ALM - Gestión</t>
  </si>
  <si>
    <t>Reporting ALM - Gestión</t>
  </si>
  <si>
    <t>10.1</t>
  </si>
  <si>
    <t>10.1.1</t>
  </si>
  <si>
    <t>10.2</t>
  </si>
  <si>
    <t>10.2.1</t>
  </si>
  <si>
    <t>10.2.2</t>
  </si>
  <si>
    <t>10.2.3</t>
  </si>
  <si>
    <t>10.3</t>
  </si>
  <si>
    <t>10.3.1</t>
  </si>
  <si>
    <t>10.3.2</t>
  </si>
  <si>
    <t>10.3.3</t>
  </si>
  <si>
    <t>10.3.4</t>
  </si>
  <si>
    <t>10.4</t>
  </si>
  <si>
    <t>10.4.1</t>
  </si>
  <si>
    <t>10.4.2</t>
  </si>
  <si>
    <t>10.4.3</t>
  </si>
  <si>
    <t>10.5</t>
  </si>
  <si>
    <t>10.6</t>
  </si>
  <si>
    <t>10.7</t>
  </si>
  <si>
    <t>HITO: Reportes de ALM Gestión aprobados puestos a producción</t>
  </si>
  <si>
    <t>Documentación de los reportes de ALM Gestión</t>
  </si>
  <si>
    <t>13. Reporting ALM - Trazabilidad</t>
  </si>
  <si>
    <t>Reporting ALM - Trazabilidad</t>
  </si>
  <si>
    <t>11.1</t>
  </si>
  <si>
    <t>11.1.1</t>
  </si>
  <si>
    <t>Desarrollo de visualización de cronogramas y flujos</t>
  </si>
  <si>
    <t>11.1.2</t>
  </si>
  <si>
    <t>Desarrollo de reportes de prepagos</t>
  </si>
  <si>
    <t>11.1.3</t>
  </si>
  <si>
    <t>Desarrollo de reportes de cosechas</t>
  </si>
  <si>
    <t>11.1.4</t>
  </si>
  <si>
    <t>Desarrollo de reportes de renovaciones</t>
  </si>
  <si>
    <t>11.2</t>
  </si>
  <si>
    <t>11.2.1</t>
  </si>
  <si>
    <t>11.2.2</t>
  </si>
  <si>
    <t>11.2.3</t>
  </si>
  <si>
    <t>11.3</t>
  </si>
  <si>
    <t>11.3.1</t>
  </si>
  <si>
    <t>11.3.2</t>
  </si>
  <si>
    <t>11.3.3</t>
  </si>
  <si>
    <t>11.3.4</t>
  </si>
  <si>
    <t>11.4</t>
  </si>
  <si>
    <t>11.4.1</t>
  </si>
  <si>
    <t>11.4.2</t>
  </si>
  <si>
    <t>11.4.3</t>
  </si>
  <si>
    <t>11.5</t>
  </si>
  <si>
    <t>11.6</t>
  </si>
  <si>
    <t>11.7</t>
  </si>
  <si>
    <t>HITO: Reportes de ALM Trazabilidad aprobados puestos a producción</t>
  </si>
  <si>
    <t>Documentación de los reportes de ALM Trazabilidad</t>
  </si>
  <si>
    <t>14. Reporting ALM - Control</t>
  </si>
  <si>
    <t>Reporting ALM - Control</t>
  </si>
  <si>
    <t>12.1</t>
  </si>
  <si>
    <t>12.1.1</t>
  </si>
  <si>
    <t>Desarrollo de control de datos</t>
  </si>
  <si>
    <t>12.1.2</t>
  </si>
  <si>
    <t>Desarrollo del reporte de duraciones de balance</t>
  </si>
  <si>
    <t>12.2</t>
  </si>
  <si>
    <t>12.2.1</t>
  </si>
  <si>
    <t>12.2.2</t>
  </si>
  <si>
    <t>12.2.3</t>
  </si>
  <si>
    <t>12.3</t>
  </si>
  <si>
    <t>12.3.1</t>
  </si>
  <si>
    <t>12.3.2</t>
  </si>
  <si>
    <t>12.3.3</t>
  </si>
  <si>
    <t>12.3.4</t>
  </si>
  <si>
    <t>12.4</t>
  </si>
  <si>
    <t>12.4.1</t>
  </si>
  <si>
    <t>12.4.2</t>
  </si>
  <si>
    <t>12.4.3</t>
  </si>
  <si>
    <t>12.5</t>
  </si>
  <si>
    <t>12.6</t>
  </si>
  <si>
    <t>12.7</t>
  </si>
  <si>
    <t>HITO: Reportes de ALM Control aprobados puestos a producción</t>
  </si>
  <si>
    <t>Documentación de los reportes de ALM Control</t>
  </si>
  <si>
    <t>15. Reporting Liquidez GAP</t>
  </si>
  <si>
    <t>Reporting Liquidez - GAP</t>
  </si>
  <si>
    <t>13.1</t>
  </si>
  <si>
    <t>13.1.1</t>
  </si>
  <si>
    <t>13.1.2</t>
  </si>
  <si>
    <t>13.2</t>
  </si>
  <si>
    <t>13.2.1</t>
  </si>
  <si>
    <t>13.2.2</t>
  </si>
  <si>
    <t>13.2.3</t>
  </si>
  <si>
    <t>13.3</t>
  </si>
  <si>
    <t>13.3.1</t>
  </si>
  <si>
    <t>13.3.2</t>
  </si>
  <si>
    <t>13.3.3</t>
  </si>
  <si>
    <t>13.3.4</t>
  </si>
  <si>
    <t>13.4</t>
  </si>
  <si>
    <t>13.4.1</t>
  </si>
  <si>
    <t>13.4.2</t>
  </si>
  <si>
    <t>13.4.3</t>
  </si>
  <si>
    <t>13.4.4</t>
  </si>
  <si>
    <t>Documentación del Pase a producción</t>
  </si>
  <si>
    <t>13.5</t>
  </si>
  <si>
    <t>13.6</t>
  </si>
  <si>
    <t>16. Reporting Liquidez NSFR</t>
  </si>
  <si>
    <t>13.7</t>
  </si>
  <si>
    <t>HITO: Reportes de liquidez GAP aprobados puestos a producción</t>
  </si>
  <si>
    <t>Documentación de los reportes de líquidez GAP</t>
  </si>
  <si>
    <t>Reporting Liquidez - NSFR</t>
  </si>
  <si>
    <t>14.1</t>
  </si>
  <si>
    <t>14.1.1</t>
  </si>
  <si>
    <t>14.1.2</t>
  </si>
  <si>
    <t>14.2</t>
  </si>
  <si>
    <t>14.2.1</t>
  </si>
  <si>
    <t>14.2.2</t>
  </si>
  <si>
    <t>14.2.3</t>
  </si>
  <si>
    <t>14.3</t>
  </si>
  <si>
    <t>14.3.1</t>
  </si>
  <si>
    <t>14.3.2</t>
  </si>
  <si>
    <t>14.3.3</t>
  </si>
  <si>
    <t>14.3.4</t>
  </si>
  <si>
    <t>14.4</t>
  </si>
  <si>
    <t>14.4.1</t>
  </si>
  <si>
    <t>14.4.2</t>
  </si>
  <si>
    <t>14.4.3</t>
  </si>
  <si>
    <t>14.5</t>
  </si>
  <si>
    <t>14.6</t>
  </si>
  <si>
    <t>14.7</t>
  </si>
  <si>
    <t>HITO: Reportes de liquidez NSFR aprobados puestos a producción</t>
  </si>
  <si>
    <t>Documentación de los reportes de líquidez NSFR</t>
  </si>
  <si>
    <t>17. Carga Histórica</t>
  </si>
  <si>
    <t>Carga Histórica</t>
  </si>
  <si>
    <t>15.1</t>
  </si>
  <si>
    <t>Cargas de TT's</t>
  </si>
  <si>
    <t>15.1.1</t>
  </si>
  <si>
    <t>Preparación de información histórica</t>
  </si>
  <si>
    <t>15.1.2</t>
  </si>
  <si>
    <t>15.1.3</t>
  </si>
  <si>
    <t>Validación de TT's</t>
  </si>
  <si>
    <t>15.2</t>
  </si>
  <si>
    <t>Carga de P&amp;L</t>
  </si>
  <si>
    <t>15.2.1</t>
  </si>
  <si>
    <t>15.2.2</t>
  </si>
  <si>
    <t>15.2.3</t>
  </si>
  <si>
    <t>Validación P&amp;L</t>
  </si>
  <si>
    <t>15.3</t>
  </si>
  <si>
    <t>15.4</t>
  </si>
  <si>
    <t>18. Rendimiento/Tunning</t>
  </si>
  <si>
    <t>Rendimiento/Tunning</t>
  </si>
  <si>
    <t>16.1</t>
  </si>
  <si>
    <t>Definición de escenarios y métricas de rendimiento</t>
  </si>
  <si>
    <t>16.2</t>
  </si>
  <si>
    <t>Ejecución de pruebas de rendimiento</t>
  </si>
  <si>
    <t>16.3</t>
  </si>
  <si>
    <t>Identificación y análisis de cuellos de botella</t>
  </si>
  <si>
    <t>16.4</t>
  </si>
  <si>
    <t>Optimización de parametrizaciones, procesos y consultas</t>
  </si>
  <si>
    <t>16.5</t>
  </si>
  <si>
    <t>Validación del cumplimiento de los tiempos objetivo</t>
  </si>
  <si>
    <t>16.6</t>
  </si>
  <si>
    <t>16.7</t>
  </si>
  <si>
    <t>HITO: Aprobación de tiempos post pruebas de ejecución</t>
  </si>
  <si>
    <t>19. Paralelo</t>
  </si>
  <si>
    <t>Paralelo</t>
  </si>
  <si>
    <t>17.1</t>
  </si>
  <si>
    <t>Preparación de insumos y parámetros del período</t>
  </si>
  <si>
    <t>17.2</t>
  </si>
  <si>
    <t>Ejecución del primer ciclo de paralelo AS-IS vs TO-BE</t>
  </si>
  <si>
    <t>17.3</t>
  </si>
  <si>
    <t>Conciliación funcional entre la solución AS-IS y TO-BE</t>
  </si>
  <si>
    <t>17.4</t>
  </si>
  <si>
    <t>Análisis y resolución de diferencias funcionales</t>
  </si>
  <si>
    <t>17.5</t>
  </si>
  <si>
    <t>Ajuste de parametrizaciones y reglas de negocio</t>
  </si>
  <si>
    <t>17.6</t>
  </si>
  <si>
    <t>Ejecución del segundo ciclo de paralelo AS-IS vs TO-BE</t>
  </si>
  <si>
    <t>17.7</t>
  </si>
  <si>
    <t>Conciliación final entre la solución AS-IS y TO-BE</t>
  </si>
  <si>
    <t>17.8</t>
  </si>
  <si>
    <t>Estabilización de la solución</t>
  </si>
  <si>
    <t>17.9</t>
  </si>
  <si>
    <t>17.10</t>
  </si>
  <si>
    <t>17.11</t>
  </si>
  <si>
    <t>HITO: Aprobación de resultados comparados entre en AS vs TO BE</t>
  </si>
  <si>
    <t>Documentación de cuadres entre el AS IS VS TO BE</t>
  </si>
  <si>
    <t>20. Cierre del proyecto</t>
  </si>
  <si>
    <t>Cierre del Proyecto</t>
  </si>
  <si>
    <t>18.1</t>
  </si>
  <si>
    <t>18.2</t>
  </si>
  <si>
    <t>18.3</t>
  </si>
  <si>
    <t>Revisión y aprobación de resultados - Gerencia</t>
  </si>
  <si>
    <t>18.4</t>
  </si>
  <si>
    <t>HITO: Publicación y uso de resultados puestos en producción</t>
  </si>
  <si>
    <t>Documentación Final con las últimas actualizaciones</t>
  </si>
  <si>
    <t>% Avance</t>
  </si>
  <si>
    <t>Instalación del CDK para desarrollos en AWS, instalar (visual studio code, aws command line, nodejs)</t>
  </si>
  <si>
    <t>Martin Sarachaga</t>
  </si>
  <si>
    <t>Definir la herramienta para realizar entregable del modelo de datos (dbdiagram.io)</t>
  </si>
  <si>
    <t>Raymond Rojas</t>
  </si>
  <si>
    <t>Generar una reunión con el equipo de operaciones cloud para revalidar lo dicho por el área de arquitectura de redes</t>
  </si>
  <si>
    <t>2.7.7</t>
  </si>
  <si>
    <t>1.9.2</t>
  </si>
  <si>
    <t>Marleny</t>
  </si>
  <si>
    <t>1.10.2</t>
  </si>
  <si>
    <t>Envío de lógicas de homologación de fuentes rnt para el consumo del proyecto</t>
  </si>
  <si>
    <t>Elaboración del modelo lógico en dbdiagram.io</t>
  </si>
  <si>
    <t>Elaboración del modelo físico en dbdiagram.io</t>
  </si>
  <si>
    <t>Generación de documentación desde dbdiagram.io</t>
  </si>
  <si>
    <t>Sologuren</t>
  </si>
  <si>
    <t>7.5.4.1.1</t>
  </si>
  <si>
    <t>7.5.4.1.1.1</t>
  </si>
  <si>
    <t>7.5.4.1.1.2</t>
  </si>
  <si>
    <t>Comentarios</t>
  </si>
  <si>
    <t>Andrés envió correo el día 21/07 a Martin</t>
  </si>
  <si>
    <t>Habilitar repositorio (github)</t>
  </si>
  <si>
    <t>1.1.5</t>
  </si>
  <si>
    <t>(Nueva) Generación de ejemplos funcionales del modelo de datos</t>
  </si>
  <si>
    <t>(Nueva) Acceso al tenant de OFSAA</t>
  </si>
  <si>
    <t>Habilitación de data productiva para pruebas</t>
  </si>
  <si>
    <t>1.10.3</t>
  </si>
  <si>
    <t>Carga de Datos a AWS S3</t>
  </si>
  <si>
    <t>Mantiene el ambiente de certi, pero los despliegues se realizarian sobre desa para pasar a UAT más rápido.</t>
  </si>
  <si>
    <t>Envío de correo solicitando el uso del ambiente desarrollo como certificación</t>
  </si>
  <si>
    <t>Lunes 27 sesión agendada</t>
  </si>
  <si>
    <t>Sesión de funcionalidad end to end del proceso, alex martin, juan quevedo.</t>
  </si>
  <si>
    <t>Aperturarlo por ambientes</t>
  </si>
  <si>
    <t>Mauro León</t>
  </si>
  <si>
    <t>Escribirle por Teams</t>
  </si>
  <si>
    <t>(Nuevo) HITO: Mapeo de campos funcionales a técnico y reglas de negocio</t>
  </si>
  <si>
    <t>Aprovisionamiento de la capa de desarrollo</t>
  </si>
  <si>
    <t>Asignación de usuario al directorio activo de la cuenta de desarrollo</t>
  </si>
  <si>
    <t>Definir las politicas para el equipo de desarrollo</t>
  </si>
  <si>
    <t>Revisión de la cotización con Martin</t>
  </si>
  <si>
    <t>Revisión de la cotización con Mauro</t>
  </si>
  <si>
    <t>Revisión de la cotización con Benjamin/Jorge Arevalo</t>
  </si>
  <si>
    <t>Generación de ticket y cotización formal</t>
  </si>
  <si>
    <t>Completar formato de aprovisionamiento y solicitar conformidades de Mauro, Benjamin y PMO</t>
  </si>
  <si>
    <t>Generación de ticket para aprovisionamiento</t>
  </si>
  <si>
    <t>1.11.1.1</t>
  </si>
  <si>
    <t>1.11.1.2</t>
  </si>
  <si>
    <t>1.11.1.3</t>
  </si>
  <si>
    <t>1.11.1.4</t>
  </si>
  <si>
    <t>1.11.2</t>
  </si>
  <si>
    <t>1.11.3</t>
  </si>
  <si>
    <t>1.11.4</t>
  </si>
  <si>
    <t>1.11.5</t>
  </si>
  <si>
    <t>1.11.6</t>
  </si>
  <si>
    <t>Preparación de cotización para envío a IBK</t>
  </si>
  <si>
    <t>Cotización para habilitación del desarrollo técnico</t>
  </si>
  <si>
    <t>1.11.1.5</t>
  </si>
  <si>
    <t>7.1.4.1.1</t>
  </si>
  <si>
    <t>7.1.4.1.1.1</t>
  </si>
  <si>
    <t>7.1.4.1.1.2</t>
  </si>
  <si>
    <t>7.1.4.1.2</t>
  </si>
  <si>
    <t>7.1.4.1.3</t>
  </si>
  <si>
    <t>7.1.4.1.4</t>
  </si>
  <si>
    <t>Pruebas unitarias e integrales</t>
  </si>
  <si>
    <t>Homologación de fuente de tipo de cambio</t>
  </si>
  <si>
    <t>Desarrollo del Motor de Saldos Medios</t>
  </si>
  <si>
    <t>Generación de fact table dia</t>
  </si>
  <si>
    <t>Construcción de salidas de información</t>
  </si>
  <si>
    <t>Diario</t>
  </si>
  <si>
    <t>Mensual</t>
  </si>
  <si>
    <t>Generación del fact table mensual</t>
  </si>
  <si>
    <t>Homologación de datos provenientes de las fuentes definidas</t>
  </si>
  <si>
    <t>Preparación del dataset base para el cálculo de saldos medios</t>
  </si>
  <si>
    <t>Implementación de las reglas de cálculo definidas funcionalmente</t>
  </si>
  <si>
    <t>7.1.4.2.1</t>
  </si>
  <si>
    <t>7.1.4.2.2</t>
  </si>
  <si>
    <t>7.1.4.2.3</t>
  </si>
  <si>
    <t>7.1.4.2.3.1</t>
  </si>
  <si>
    <t>7.1.4.2.3.2</t>
  </si>
  <si>
    <t>7.1.4.2.3.2.1</t>
  </si>
  <si>
    <t>7.1.4.2.3.2.2</t>
  </si>
  <si>
    <t>7.1.4.2.3.2.1.1</t>
  </si>
  <si>
    <t>7.1.4.2.3.2.2.1</t>
  </si>
  <si>
    <t>Malla Producto Gestión</t>
  </si>
  <si>
    <t>Malla Contable</t>
  </si>
  <si>
    <t>Malla Operativa Productos</t>
  </si>
  <si>
    <t>Malla Cuenta Contable Local a Agrupador Contable</t>
  </si>
  <si>
    <t>Malla Operativa a Agrupador Contable</t>
  </si>
  <si>
    <t>Malla Cuenta contable IFRS a Agrupador Contable</t>
  </si>
  <si>
    <t>Malla de Área de Negocio</t>
  </si>
  <si>
    <t>7.1.4.6.1</t>
  </si>
  <si>
    <t>7.1.4.6.1.1</t>
  </si>
  <si>
    <t>7.1.4.6.1.2</t>
  </si>
  <si>
    <t>7.1.4.6.1.3</t>
  </si>
  <si>
    <t>7.1.4.6.2</t>
  </si>
  <si>
    <t>7.1.4.6.3</t>
  </si>
  <si>
    <t>7.1.4.6.4</t>
  </si>
  <si>
    <t>7.1.4.6.5</t>
  </si>
  <si>
    <t>7.1.4.2.4</t>
  </si>
  <si>
    <t>7.1.4.6.6</t>
  </si>
  <si>
    <t>Extracción de datos desde APRRINT por aplicativo</t>
  </si>
  <si>
    <t>Mapear la fuente de la dimensión</t>
  </si>
  <si>
    <t>Malla Operativa Tarjeta de Crédito</t>
  </si>
  <si>
    <t>Homologación de campos de la dimension</t>
  </si>
  <si>
    <t>Mapeo de tipo de cambio real</t>
  </si>
  <si>
    <t>Identificación de fuentes de tipo de cambio real</t>
  </si>
  <si>
    <t>Definición de reglas de asignación por escenario</t>
  </si>
  <si>
    <t>Desarrollo del motor de cálculo de contravaloración</t>
  </si>
  <si>
    <t>Documentación de la implementación de desarrollos P1</t>
  </si>
  <si>
    <t xml:space="preserve">Faltan a subir a dominio 1laptop </t>
  </si>
  <si>
    <t>Lunes recordatorio a Martin y Marleny para tener el conforme. (revisar correo enviado por andres)</t>
  </si>
  <si>
    <t>Pendiente habilitar tenant anterior para pasar el backup al nuevo tenant. De no lograrse 1 mes de desarrollo perdido.</t>
  </si>
  <si>
    <t>Falta CDK para hacer uso del repo Capa Silver, falta 1 repo.</t>
  </si>
  <si>
    <t>Andrés envió el detalle por correo. 24/07</t>
  </si>
  <si>
    <t>Edward y GD: Wendy Gamboa, viernes 24. Falta solución del entregable final del modelo de datos.</t>
  </si>
  <si>
    <t>No cruza tabla de maestra de cliente con segmentos</t>
  </si>
  <si>
    <t>Se levantaron observaciones, PENDIENTE CONFORME PARCIAL DE SALDOS OPERACIONALES MAXIMO LUNES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</si>
</sst>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u/>
      <sz val="10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4" xfId="0" quotePrefix="1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4" fillId="0" borderId="8" xfId="0" quotePrefix="1" applyFont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 indent="1"/>
    </xf>
    <xf numFmtId="0" fontId="5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 indent="2"/>
    </xf>
    <xf numFmtId="0" fontId="8" fillId="0" borderId="10" xfId="0" applyFont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5" fillId="7" borderId="8" xfId="0" applyFont="1" applyFill="1" applyBorder="1" applyAlignment="1">
      <alignment horizontal="left" vertical="center" wrapText="1" indent="1"/>
    </xf>
    <xf numFmtId="0" fontId="11" fillId="0" borderId="8" xfId="1" applyFont="1" applyBorder="1"/>
    <xf numFmtId="0" fontId="6" fillId="8" borderId="10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5" borderId="10" xfId="0" applyFont="1" applyFill="1" applyBorder="1" applyAlignment="1">
      <alignment horizontal="left" vertical="center" wrapText="1"/>
    </xf>
    <xf numFmtId="0" fontId="1" fillId="6" borderId="10" xfId="0" applyFont="1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1" fillId="8" borderId="10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9" borderId="10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5" borderId="10" xfId="0" applyFont="1" applyFill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5" borderId="10" xfId="0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6" fillId="5" borderId="10" xfId="0" applyFont="1" applyFill="1" applyBorder="1" applyAlignment="1">
      <alignment vertical="center" wrapText="1"/>
    </xf>
    <xf numFmtId="0" fontId="0" fillId="6" borderId="10" xfId="0" applyFill="1" applyBorder="1" applyAlignment="1">
      <alignment vertical="center" wrapText="1"/>
    </xf>
    <xf numFmtId="0" fontId="6" fillId="6" borderId="10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horizontal="left" vertical="center" wrapText="1" indent="2"/>
    </xf>
    <xf numFmtId="0" fontId="0" fillId="10" borderId="10" xfId="0" applyFill="1" applyBorder="1" applyAlignment="1">
      <alignment vertical="center" wrapText="1"/>
    </xf>
    <xf numFmtId="0" fontId="6" fillId="10" borderId="10" xfId="0" applyFont="1" applyFill="1" applyBorder="1" applyAlignment="1">
      <alignment vertical="center" wrapText="1"/>
    </xf>
    <xf numFmtId="0" fontId="7" fillId="0" borderId="8" xfId="0" applyFont="1" applyBorder="1" applyAlignment="1">
      <alignment horizontal="left" vertical="center" wrapText="1" indent="3"/>
    </xf>
    <xf numFmtId="0" fontId="10" fillId="0" borderId="8" xfId="0" applyFont="1" applyBorder="1" applyAlignment="1">
      <alignment horizontal="left" vertical="center" indent="4"/>
    </xf>
    <xf numFmtId="0" fontId="5" fillId="0" borderId="8" xfId="0" applyFont="1" applyBorder="1" applyAlignment="1">
      <alignment horizontal="left" vertical="center" wrapText="1" indent="3"/>
    </xf>
    <xf numFmtId="0" fontId="14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11" borderId="10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9" borderId="10" xfId="0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 indent="5"/>
    </xf>
    <xf numFmtId="0" fontId="7" fillId="0" borderId="8" xfId="0" applyFont="1" applyBorder="1" applyAlignment="1">
      <alignment horizontal="left" vertical="center" wrapText="1" indent="4"/>
    </xf>
    <xf numFmtId="0" fontId="10" fillId="0" borderId="8" xfId="0" applyFont="1" applyBorder="1" applyAlignment="1">
      <alignment horizontal="left" vertical="center" indent="6"/>
    </xf>
    <xf numFmtId="0" fontId="5" fillId="4" borderId="8" xfId="0" applyFont="1" applyFill="1" applyBorder="1" applyAlignment="1">
      <alignment horizontal="left" vertical="center" indent="2"/>
    </xf>
    <xf numFmtId="0" fontId="0" fillId="0" borderId="10" xfId="0" applyBorder="1" applyAlignment="1">
      <alignment horizontal="left" vertical="center"/>
    </xf>
    <xf numFmtId="0" fontId="0" fillId="6" borderId="10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9" borderId="10" xfId="0" applyFill="1" applyBorder="1" applyAlignment="1">
      <alignment horizontal="left" vertical="center"/>
    </xf>
    <xf numFmtId="0" fontId="10" fillId="0" borderId="8" xfId="0" applyFont="1" applyBorder="1" applyAlignment="1">
      <alignment horizontal="left" vertical="center" indent="2"/>
    </xf>
    <xf numFmtId="0" fontId="0" fillId="5" borderId="10" xfId="0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0" fillId="10" borderId="10" xfId="0" applyFill="1" applyBorder="1" applyAlignment="1">
      <alignment vertical="center"/>
    </xf>
    <xf numFmtId="0" fontId="7" fillId="0" borderId="8" xfId="0" applyFont="1" applyBorder="1" applyAlignment="1">
      <alignment horizontal="left" vertical="center" indent="3"/>
    </xf>
    <xf numFmtId="0" fontId="7" fillId="0" borderId="8" xfId="0" applyFont="1" applyBorder="1" applyAlignment="1">
      <alignment horizontal="left" vertical="center" indent="4"/>
    </xf>
    <xf numFmtId="0" fontId="10" fillId="0" borderId="8" xfId="0" applyFont="1" applyBorder="1" applyAlignment="1">
      <alignment horizontal="left" vertical="center" indent="8"/>
    </xf>
    <xf numFmtId="0" fontId="5" fillId="0" borderId="8" xfId="0" applyFont="1" applyBorder="1" applyAlignment="1">
      <alignment horizontal="left" vertical="center" indent="2"/>
    </xf>
    <xf numFmtId="0" fontId="5" fillId="0" borderId="8" xfId="0" applyFont="1" applyBorder="1" applyAlignment="1">
      <alignment horizontal="left" vertical="center" indent="3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4" fillId="0" borderId="8" xfId="0" applyFont="1" applyBorder="1" applyAlignment="1">
      <alignment vertical="center"/>
    </xf>
    <xf numFmtId="0" fontId="1" fillId="2" borderId="8" xfId="0" applyFont="1" applyFill="1" applyBorder="1" applyAlignment="1">
      <alignment horizontal="left" vertical="center" wrapText="1" indent="1"/>
    </xf>
    <xf numFmtId="0" fontId="5" fillId="0" borderId="8" xfId="0" applyFon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 indent="2"/>
    </xf>
    <xf numFmtId="0" fontId="7" fillId="4" borderId="8" xfId="0" applyFont="1" applyFill="1" applyBorder="1" applyAlignment="1">
      <alignment horizontal="left" vertical="center" wrapText="1" indent="1"/>
    </xf>
    <xf numFmtId="0" fontId="7" fillId="0" borderId="8" xfId="0" applyFont="1" applyBorder="1" applyAlignment="1">
      <alignment horizontal="left" vertical="center" indent="2"/>
    </xf>
    <xf numFmtId="0" fontId="0" fillId="3" borderId="10" xfId="0" applyFill="1" applyBorder="1" applyAlignment="1">
      <alignment horizontal="left" vertical="center"/>
    </xf>
    <xf numFmtId="0" fontId="0" fillId="10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6" borderId="11" xfId="0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10" fillId="0" borderId="13" xfId="0" applyFont="1" applyBorder="1" applyAlignment="1">
      <alignment horizontal="left" vertical="center" indent="2"/>
    </xf>
    <xf numFmtId="0" fontId="5" fillId="7" borderId="13" xfId="0" applyFont="1" applyFill="1" applyBorder="1" applyAlignment="1">
      <alignment horizontal="left" vertical="center" wrapText="1" indent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9" borderId="16" xfId="0" applyFill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9" fontId="7" fillId="0" borderId="8" xfId="0" applyNumberFormat="1" applyFont="1" applyBorder="1" applyAlignment="1">
      <alignment horizontal="center" vertical="center" wrapText="1"/>
    </xf>
    <xf numFmtId="9" fontId="7" fillId="0" borderId="4" xfId="0" applyNumberFormat="1" applyFont="1" applyBorder="1" applyAlignment="1">
      <alignment horizontal="center" vertical="center" wrapText="1"/>
    </xf>
    <xf numFmtId="9" fontId="14" fillId="0" borderId="8" xfId="0" applyNumberFormat="1" applyFont="1" applyBorder="1" applyAlignment="1">
      <alignment horizontal="center" vertical="center" wrapText="1"/>
    </xf>
    <xf numFmtId="0" fontId="7" fillId="0" borderId="0" xfId="0" applyFont="1"/>
    <xf numFmtId="9" fontId="1" fillId="0" borderId="4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1" fillId="0" borderId="0" xfId="0" applyFont="1"/>
    <xf numFmtId="16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9" fontId="1" fillId="0" borderId="8" xfId="0" applyNumberFormat="1" applyFont="1" applyBorder="1" applyAlignment="1">
      <alignment horizontal="center" vertical="center" wrapText="1"/>
    </xf>
    <xf numFmtId="0" fontId="17" fillId="0" borderId="8" xfId="1" applyFont="1" applyBorder="1" applyAlignment="1">
      <alignment vertical="center"/>
    </xf>
    <xf numFmtId="0" fontId="11" fillId="0" borderId="8" xfId="1" applyFont="1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8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 wrapText="1"/>
    </xf>
    <xf numFmtId="9" fontId="13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 indent="2"/>
    </xf>
    <xf numFmtId="9" fontId="13" fillId="0" borderId="8" xfId="0" applyNumberFormat="1" applyFont="1" applyBorder="1" applyAlignment="1">
      <alignment horizontal="center" vertical="center"/>
    </xf>
    <xf numFmtId="9" fontId="14" fillId="0" borderId="8" xfId="0" applyNumberFormat="1" applyFont="1" applyBorder="1" applyAlignment="1">
      <alignment horizontal="center" vertical="center"/>
    </xf>
    <xf numFmtId="0" fontId="2" fillId="0" borderId="8" xfId="1" applyBorder="1" applyAlignment="1">
      <alignment horizontal="left" vertical="center"/>
    </xf>
    <xf numFmtId="0" fontId="0" fillId="3" borderId="10" xfId="0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 indent="2"/>
    </xf>
    <xf numFmtId="0" fontId="7" fillId="0" borderId="8" xfId="0" applyFont="1" applyBorder="1" applyAlignment="1">
      <alignment horizontal="left" vertical="center" wrapText="1" indent="6"/>
    </xf>
    <xf numFmtId="0" fontId="7" fillId="0" borderId="8" xfId="0" applyFont="1" applyBorder="1" applyAlignment="1">
      <alignment horizontal="left" vertical="center" wrapText="1" indent="7"/>
    </xf>
    <xf numFmtId="0" fontId="7" fillId="12" borderId="8" xfId="0" applyFont="1" applyFill="1" applyBorder="1" applyAlignment="1">
      <alignment horizontal="left" vertical="center" wrapText="1" indent="3"/>
    </xf>
    <xf numFmtId="0" fontId="7" fillId="12" borderId="8" xfId="0" applyFont="1" applyFill="1" applyBorder="1" applyAlignment="1">
      <alignment horizontal="left" vertical="center" wrapText="1" indent="4"/>
    </xf>
    <xf numFmtId="0" fontId="7" fillId="13" borderId="8" xfId="0" applyFont="1" applyFill="1" applyBorder="1" applyAlignment="1">
      <alignment horizontal="left" vertical="center" wrapText="1" indent="3"/>
    </xf>
    <xf numFmtId="0" fontId="7" fillId="13" borderId="8" xfId="0" applyFont="1" applyFill="1" applyBorder="1" applyAlignment="1">
      <alignment horizontal="left" vertical="center" wrapText="1" indent="4"/>
    </xf>
    <xf numFmtId="17" fontId="3" fillId="0" borderId="17" xfId="0" applyNumberFormat="1" applyFont="1" applyBorder="1" applyAlignment="1">
      <alignment horizontal="center" vertical="center"/>
    </xf>
    <xf numFmtId="17" fontId="3" fillId="0" borderId="18" xfId="0" applyNumberFormat="1" applyFont="1" applyBorder="1" applyAlignment="1">
      <alignment horizontal="center" vertical="center"/>
    </xf>
    <xf numFmtId="17" fontId="3" fillId="0" borderId="19" xfId="0" applyNumberFormat="1" applyFont="1" applyBorder="1" applyAlignment="1">
      <alignment horizontal="center" vertical="center"/>
    </xf>
    <xf numFmtId="17" fontId="3" fillId="0" borderId="20" xfId="0" applyNumberFormat="1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7" fillId="14" borderId="8" xfId="0" applyFont="1" applyFill="1" applyBorder="1" applyAlignment="1">
      <alignment horizontal="left" vertical="center" wrapText="1" indent="2"/>
    </xf>
  </cellXfs>
  <cellStyles count="2">
    <cellStyle name="Hipervínculo" xfId="1" builtinId="8"/>
    <cellStyle name="Normal" xfId="0" builtinId="0"/>
  </cellStyles>
  <dxfs count="4"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theme="0" tint="-0.49995422223578601"/>
        </patternFill>
      </fill>
    </dxf>
    <dxf>
      <font>
        <color theme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otect.checkpoint.com/v2/r01/___https:/gmsmanagementsolutions-my.sharepoint.com/:g:dldujwxtsfqdwfzq_kjwsfsit_wfrtx6_rfsfljrjsyxtqzyntsx_htrdNVGoWfTyGpuEW3DROAlnVNj6F4r6wHo00pZofM5FT1vi7pF?j=G7ZQDN___.YzJ1OmludGVyY29ycDpjOm9mZmljZTM2NV9lbWFpbHNfYXR0YWNobWVudDoxNGUzNTE3ZTNkNTQ2Y2RhODZjMjc5MzA4YWNiMzM1Yzo3OjU2Yjc6MTBjOGM3NDVjYjFjZTU3NGI4ZWMxYTkwNmExM2NjZDBjMzQzNDA5ZTM3MzYyOTFhMTNhMTA0NDJhZjc0MmFhZTpwOlQ6VA" TargetMode="External"/><Relationship Id="rId1" Type="http://schemas.openxmlformats.org/officeDocument/2006/relationships/hyperlink" Target="https://protect.checkpoint.com/v2/r01/___https:/gmsmanagementsolutions-my.sharepoint.com/:B:dldujwxtsfqdwfzq_kjwsfsit_wfrtx6_rfsfljrjsyxtqzyntsx_htrdNVI/hO_R_sOEX/w-yjC6aU4DFiRnO1y3n7zo_OhZsjAfzfh?j=2/2jiX___.YzJ1OmludGVyY29ycDpjOm9mZmljZTM2NV9lbWFpbHNfYXR0YWNobWVudDoxNGUzNTE3ZTNkNTQ2Y2RhODZjMjc5MzA4YWNiMzM1Yzo3OjA3OTc6OTYyMGMzMGE0MDgzY2U5MWY4YWE0YmJhMjQ1NjZhMzdmMDRjZWU3ZjRhZWQyMTEzMjViOTQ2YTUxMDJkYWM1ZDpwOlQ6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C323-FC21-42A1-BD50-A1C303B44C25}">
  <dimension ref="A1:CF624"/>
  <sheetViews>
    <sheetView tabSelected="1" zoomScale="122" zoomScaleNormal="130" workbookViewId="0">
      <selection activeCell="D226" sqref="D226"/>
    </sheetView>
  </sheetViews>
  <sheetFormatPr baseColWidth="10" defaultColWidth="9.140625" defaultRowHeight="15" x14ac:dyDescent="0.25"/>
  <cols>
    <col min="1" max="1" width="26.7109375" bestFit="1" customWidth="1"/>
    <col min="2" max="2" width="12.42578125" customWidth="1"/>
    <col min="3" max="3" width="15" customWidth="1"/>
    <col min="4" max="4" width="60.28515625" bestFit="1" customWidth="1"/>
    <col min="5" max="5" width="31.85546875" bestFit="1" customWidth="1"/>
    <col min="6" max="6" width="23.7109375" hidden="1" customWidth="1"/>
    <col min="7" max="7" width="18" hidden="1" customWidth="1"/>
    <col min="8" max="8" width="14.28515625" customWidth="1"/>
    <col min="9" max="9" width="11.7109375" style="137" customWidth="1"/>
    <col min="10" max="10" width="11.7109375" bestFit="1" customWidth="1"/>
    <col min="11" max="11" width="12.42578125" bestFit="1" customWidth="1"/>
    <col min="12" max="12" width="14" customWidth="1"/>
  </cols>
  <sheetData>
    <row r="1" spans="1:84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894</v>
      </c>
      <c r="F1" s="2" t="s">
        <v>4</v>
      </c>
      <c r="G1" s="2" t="s">
        <v>5</v>
      </c>
      <c r="H1" s="2" t="s">
        <v>6</v>
      </c>
      <c r="I1" s="2" t="s">
        <v>876</v>
      </c>
      <c r="J1" s="2" t="s">
        <v>7</v>
      </c>
      <c r="K1" s="3" t="s">
        <v>8</v>
      </c>
      <c r="L1" s="3" t="s">
        <v>9</v>
      </c>
      <c r="M1" s="186">
        <v>46054</v>
      </c>
      <c r="N1" s="187"/>
      <c r="O1" s="187"/>
      <c r="P1" s="187"/>
      <c r="Q1" s="187">
        <v>46082</v>
      </c>
      <c r="R1" s="187"/>
      <c r="S1" s="187"/>
      <c r="T1" s="187"/>
      <c r="U1" s="183">
        <v>46113</v>
      </c>
      <c r="V1" s="184"/>
      <c r="W1" s="184"/>
      <c r="X1" s="185"/>
      <c r="Y1" s="183">
        <v>46143</v>
      </c>
      <c r="Z1" s="184"/>
      <c r="AA1" s="184"/>
      <c r="AB1" s="185"/>
      <c r="AC1" s="183">
        <v>46174</v>
      </c>
      <c r="AD1" s="184"/>
      <c r="AE1" s="184"/>
      <c r="AF1" s="185"/>
      <c r="AG1" s="183">
        <v>46204</v>
      </c>
      <c r="AH1" s="184"/>
      <c r="AI1" s="184"/>
      <c r="AJ1" s="185"/>
      <c r="AK1" s="183">
        <v>46235</v>
      </c>
      <c r="AL1" s="184"/>
      <c r="AM1" s="184"/>
      <c r="AN1" s="185"/>
      <c r="AO1" s="183">
        <v>46266</v>
      </c>
      <c r="AP1" s="184"/>
      <c r="AQ1" s="184"/>
      <c r="AR1" s="185"/>
      <c r="AS1" s="183">
        <v>46296</v>
      </c>
      <c r="AT1" s="184"/>
      <c r="AU1" s="184"/>
      <c r="AV1" s="185"/>
      <c r="AW1" s="183">
        <v>46327</v>
      </c>
      <c r="AX1" s="184"/>
      <c r="AY1" s="184"/>
      <c r="AZ1" s="185"/>
      <c r="BA1" s="183">
        <v>46357</v>
      </c>
      <c r="BB1" s="184"/>
      <c r="BC1" s="184"/>
      <c r="BD1" s="185"/>
      <c r="BE1" s="183">
        <v>46388</v>
      </c>
      <c r="BF1" s="184"/>
      <c r="BG1" s="184"/>
      <c r="BH1" s="185"/>
      <c r="BI1" s="183">
        <v>46419</v>
      </c>
      <c r="BJ1" s="184"/>
      <c r="BK1" s="184"/>
      <c r="BL1" s="185"/>
      <c r="BM1" s="183">
        <v>46447</v>
      </c>
      <c r="BN1" s="184"/>
      <c r="BO1" s="184"/>
      <c r="BP1" s="185"/>
      <c r="BQ1" s="183">
        <v>46478</v>
      </c>
      <c r="BR1" s="184"/>
      <c r="BS1" s="184"/>
      <c r="BT1" s="185"/>
      <c r="BU1" s="183">
        <v>46508</v>
      </c>
      <c r="BV1" s="184"/>
      <c r="BW1" s="184"/>
      <c r="BX1" s="185"/>
      <c r="BY1" s="183">
        <v>46539</v>
      </c>
      <c r="BZ1" s="184"/>
      <c r="CA1" s="184"/>
      <c r="CB1" s="185"/>
      <c r="CC1" s="183">
        <v>46569</v>
      </c>
      <c r="CD1" s="184"/>
      <c r="CE1" s="184"/>
      <c r="CF1" s="185"/>
    </row>
    <row r="2" spans="1:84" ht="15.75" x14ac:dyDescent="0.25">
      <c r="A2" s="145" t="s">
        <v>10</v>
      </c>
      <c r="B2" s="146" t="s">
        <v>11</v>
      </c>
      <c r="C2" s="4"/>
      <c r="D2" s="5" t="s">
        <v>12</v>
      </c>
      <c r="E2" s="150"/>
      <c r="F2" s="140" t="s">
        <v>13</v>
      </c>
      <c r="G2" s="140" t="s">
        <v>13</v>
      </c>
      <c r="H2" s="140" t="str">
        <f>IF(COUNTIF(H3:H36,"Finalizado")=ROWS(H3:H36),"Finalizado",IF(COUNTIF(H3:H36,"Pendiente")=ROWS(H3:H36),"No iniciado","En proceso"))</f>
        <v>En proceso</v>
      </c>
      <c r="I2" s="138">
        <f>AVERAGE(I3,I9,I11,I14,I25,I29,I33,I35,I37,I40,I44)</f>
        <v>0.64348484848484844</v>
      </c>
      <c r="J2" s="140" t="s">
        <v>14</v>
      </c>
      <c r="K2" s="147">
        <v>46068</v>
      </c>
      <c r="L2" s="147">
        <v>46249</v>
      </c>
      <c r="M2" s="7"/>
      <c r="N2" s="8"/>
      <c r="O2" s="9"/>
      <c r="P2" s="9"/>
      <c r="Q2" s="9"/>
      <c r="R2" s="9"/>
      <c r="S2" s="9"/>
      <c r="T2" s="9"/>
      <c r="U2" s="9"/>
      <c r="V2" s="9"/>
      <c r="W2" s="9"/>
      <c r="X2" s="9"/>
      <c r="Y2" s="10"/>
      <c r="Z2" s="10"/>
      <c r="AA2" s="10"/>
      <c r="AB2" s="10"/>
      <c r="AC2" s="10"/>
      <c r="AD2" s="10"/>
      <c r="AE2" s="10"/>
      <c r="AF2" s="9"/>
      <c r="AG2" s="9"/>
      <c r="AH2" s="9"/>
      <c r="AI2" s="9"/>
      <c r="AJ2" s="9"/>
      <c r="AK2" s="9"/>
      <c r="AL2" s="9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8"/>
      <c r="BV2" s="8"/>
      <c r="BW2" s="11"/>
      <c r="BX2" s="11"/>
      <c r="BY2" s="8"/>
      <c r="BZ2" s="8"/>
      <c r="CA2" s="11"/>
      <c r="CB2" s="11"/>
      <c r="CC2" s="8"/>
      <c r="CD2" s="8"/>
      <c r="CE2" s="11"/>
      <c r="CF2" s="12"/>
    </row>
    <row r="3" spans="1:84" ht="15.75" x14ac:dyDescent="0.25">
      <c r="A3" s="151" t="s">
        <v>10</v>
      </c>
      <c r="B3" s="150" t="s">
        <v>15</v>
      </c>
      <c r="C3" s="14"/>
      <c r="D3" s="15" t="s">
        <v>16</v>
      </c>
      <c r="E3" s="150"/>
      <c r="F3" s="16" t="s">
        <v>13</v>
      </c>
      <c r="G3" s="16" t="s">
        <v>13</v>
      </c>
      <c r="H3" s="16" t="str">
        <f>IF(COUNTIF(H4:H7,"Finalizado")=ROWS(H4:H7),"Finalizado",IF(COUNTIF(H4:H7,"Pendiente")=ROWS(H4:H7),"No iniciado","En proceso"))</f>
        <v>En proceso</v>
      </c>
      <c r="I3" s="148">
        <f>AVERAGE(I4:I8)</f>
        <v>0.78</v>
      </c>
      <c r="J3" s="17" t="s">
        <v>14</v>
      </c>
      <c r="K3" s="142">
        <v>46068</v>
      </c>
      <c r="L3" s="142">
        <v>46249</v>
      </c>
      <c r="M3" s="19"/>
      <c r="N3" s="20"/>
      <c r="O3" s="21"/>
      <c r="P3" s="21"/>
      <c r="Q3" s="21"/>
      <c r="R3" s="21"/>
      <c r="S3" s="21"/>
      <c r="T3" s="21"/>
      <c r="U3" s="21"/>
      <c r="V3" s="21"/>
      <c r="W3" s="21"/>
      <c r="X3" s="21"/>
      <c r="Y3" s="22"/>
      <c r="Z3" s="22"/>
      <c r="AA3" s="22"/>
      <c r="AB3" s="22"/>
      <c r="AC3" s="22"/>
      <c r="AD3" s="22"/>
      <c r="AE3" s="22"/>
      <c r="AF3" s="23"/>
      <c r="AG3" s="24"/>
      <c r="AH3" s="24"/>
      <c r="AI3" s="24"/>
      <c r="AJ3" s="24"/>
      <c r="AK3" s="24"/>
      <c r="AL3" s="24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8"/>
      <c r="BV3" s="8"/>
      <c r="BW3" s="11"/>
      <c r="BX3" s="11"/>
      <c r="BY3" s="8"/>
      <c r="BZ3" s="8"/>
      <c r="CA3" s="11"/>
      <c r="CB3" s="11"/>
      <c r="CC3" s="8"/>
      <c r="CD3" s="8"/>
      <c r="CE3" s="11"/>
      <c r="CF3" s="12"/>
    </row>
    <row r="4" spans="1:84" ht="15.75" x14ac:dyDescent="0.25">
      <c r="A4" s="151" t="s">
        <v>10</v>
      </c>
      <c r="B4" s="150" t="s">
        <v>18</v>
      </c>
      <c r="C4" s="25"/>
      <c r="D4" s="26" t="s">
        <v>19</v>
      </c>
      <c r="E4" s="175" t="s">
        <v>984</v>
      </c>
      <c r="F4" s="16" t="s">
        <v>13</v>
      </c>
      <c r="G4" s="16" t="s">
        <v>13</v>
      </c>
      <c r="H4" s="17" t="s">
        <v>72</v>
      </c>
      <c r="I4" s="134">
        <v>0.9</v>
      </c>
      <c r="J4" s="17" t="s">
        <v>14</v>
      </c>
      <c r="K4" s="142">
        <v>46068</v>
      </c>
      <c r="L4" s="142">
        <v>46218</v>
      </c>
      <c r="M4" s="19"/>
      <c r="N4" s="20"/>
      <c r="O4" s="27"/>
      <c r="P4" s="28"/>
      <c r="Q4" s="28"/>
      <c r="R4" s="28"/>
      <c r="S4" s="28"/>
      <c r="T4" s="28"/>
      <c r="U4" s="28"/>
      <c r="V4" s="28"/>
      <c r="W4" s="28"/>
      <c r="X4" s="28"/>
      <c r="Y4" s="29"/>
      <c r="Z4" s="29"/>
      <c r="AA4" s="29"/>
      <c r="AB4" s="29"/>
      <c r="AC4" s="29"/>
      <c r="AD4" s="29"/>
      <c r="AE4" s="29"/>
      <c r="AF4" s="28"/>
      <c r="AG4" s="30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20"/>
      <c r="BV4" s="20"/>
      <c r="BW4" s="31"/>
      <c r="BX4" s="31"/>
      <c r="BY4" s="20"/>
      <c r="BZ4" s="20"/>
      <c r="CA4" s="31"/>
      <c r="CB4" s="31"/>
      <c r="CC4" s="20"/>
      <c r="CD4" s="20"/>
      <c r="CE4" s="31"/>
      <c r="CF4" s="32"/>
    </row>
    <row r="5" spans="1:84" ht="40.5" x14ac:dyDescent="0.25">
      <c r="A5" s="151" t="s">
        <v>10</v>
      </c>
      <c r="B5" s="150" t="s">
        <v>20</v>
      </c>
      <c r="C5" s="25"/>
      <c r="D5" s="26" t="s">
        <v>877</v>
      </c>
      <c r="E5" s="175" t="s">
        <v>985</v>
      </c>
      <c r="F5" s="16" t="s">
        <v>13</v>
      </c>
      <c r="G5" s="16" t="s">
        <v>13</v>
      </c>
      <c r="H5" s="17" t="s">
        <v>72</v>
      </c>
      <c r="I5" s="134">
        <v>0.5</v>
      </c>
      <c r="J5" s="17" t="s">
        <v>878</v>
      </c>
      <c r="K5" s="142">
        <v>46113</v>
      </c>
      <c r="L5" s="142">
        <v>46230</v>
      </c>
      <c r="M5" s="19"/>
      <c r="N5" s="20"/>
      <c r="O5" s="27"/>
      <c r="P5" s="27"/>
      <c r="Q5" s="27"/>
      <c r="R5" s="27"/>
      <c r="S5" s="27"/>
      <c r="T5" s="27"/>
      <c r="U5" s="28"/>
      <c r="V5" s="28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30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20"/>
      <c r="BV5" s="20"/>
      <c r="BW5" s="31"/>
      <c r="BX5" s="31"/>
      <c r="BY5" s="20"/>
      <c r="BZ5" s="20"/>
      <c r="CA5" s="31"/>
      <c r="CB5" s="31"/>
      <c r="CC5" s="20"/>
      <c r="CD5" s="20"/>
      <c r="CE5" s="31"/>
      <c r="CF5" s="32"/>
    </row>
    <row r="6" spans="1:84" ht="15.75" x14ac:dyDescent="0.25">
      <c r="A6" s="151" t="s">
        <v>10</v>
      </c>
      <c r="B6" s="150" t="s">
        <v>22</v>
      </c>
      <c r="C6" s="25"/>
      <c r="D6" s="26" t="s">
        <v>23</v>
      </c>
      <c r="E6" s="175"/>
      <c r="F6" s="16" t="s">
        <v>13</v>
      </c>
      <c r="G6" s="16" t="s">
        <v>13</v>
      </c>
      <c r="H6" s="17" t="s">
        <v>17</v>
      </c>
      <c r="I6" s="134">
        <v>1</v>
      </c>
      <c r="J6" s="17" t="s">
        <v>14</v>
      </c>
      <c r="K6" s="142">
        <v>46113</v>
      </c>
      <c r="L6" s="142">
        <v>46157</v>
      </c>
      <c r="M6" s="19"/>
      <c r="N6" s="20"/>
      <c r="O6" s="33"/>
      <c r="P6" s="27"/>
      <c r="Q6" s="27"/>
      <c r="R6" s="27"/>
      <c r="S6" s="27"/>
      <c r="T6" s="27"/>
      <c r="U6" s="28"/>
      <c r="V6" s="28"/>
      <c r="W6" s="29"/>
      <c r="X6" s="29"/>
      <c r="Y6" s="29"/>
      <c r="Z6" s="29"/>
      <c r="AA6" s="33"/>
      <c r="AB6" s="33"/>
      <c r="AC6" s="33"/>
      <c r="AD6" s="33"/>
      <c r="AE6" s="33"/>
      <c r="AF6" s="33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20"/>
      <c r="BV6" s="20"/>
      <c r="BW6" s="31"/>
      <c r="BX6" s="31"/>
      <c r="BY6" s="20"/>
      <c r="BZ6" s="20"/>
      <c r="CA6" s="31"/>
      <c r="CB6" s="31"/>
      <c r="CC6" s="20"/>
      <c r="CD6" s="20"/>
      <c r="CE6" s="31"/>
      <c r="CF6" s="32"/>
    </row>
    <row r="7" spans="1:84" ht="27" x14ac:dyDescent="0.25">
      <c r="A7" s="151" t="s">
        <v>10</v>
      </c>
      <c r="B7" s="150" t="s">
        <v>24</v>
      </c>
      <c r="C7" s="25"/>
      <c r="D7" s="26" t="s">
        <v>879</v>
      </c>
      <c r="E7" s="150"/>
      <c r="F7" s="16" t="s">
        <v>13</v>
      </c>
      <c r="G7" s="16" t="s">
        <v>13</v>
      </c>
      <c r="H7" s="17" t="s">
        <v>17</v>
      </c>
      <c r="I7" s="134">
        <v>1</v>
      </c>
      <c r="J7" s="17" t="s">
        <v>14</v>
      </c>
      <c r="K7" s="142">
        <v>46143</v>
      </c>
      <c r="L7" s="142">
        <v>46213</v>
      </c>
      <c r="M7" s="19"/>
      <c r="N7" s="20"/>
      <c r="O7" s="33"/>
      <c r="P7" s="27"/>
      <c r="Q7" s="27"/>
      <c r="R7" s="27"/>
      <c r="S7" s="27"/>
      <c r="T7" s="27"/>
      <c r="U7" s="27"/>
      <c r="V7" s="27"/>
      <c r="W7" s="33"/>
      <c r="X7" s="33"/>
      <c r="Y7" s="29"/>
      <c r="Z7" s="29"/>
      <c r="AA7" s="29"/>
      <c r="AB7" s="29"/>
      <c r="AC7" s="29"/>
      <c r="AD7" s="29"/>
      <c r="AE7" s="29"/>
      <c r="AF7" s="29"/>
      <c r="AG7" s="30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20"/>
      <c r="BV7" s="20"/>
      <c r="BW7" s="31"/>
      <c r="BX7" s="31"/>
      <c r="BY7" s="20"/>
      <c r="BZ7" s="20"/>
      <c r="CA7" s="31"/>
      <c r="CB7" s="31"/>
      <c r="CC7" s="20"/>
      <c r="CD7" s="20"/>
      <c r="CE7" s="31"/>
      <c r="CF7" s="32"/>
    </row>
    <row r="8" spans="1:84" ht="40.5" x14ac:dyDescent="0.25">
      <c r="A8" s="151" t="s">
        <v>10</v>
      </c>
      <c r="B8" s="150" t="s">
        <v>897</v>
      </c>
      <c r="C8" s="25"/>
      <c r="D8" s="26" t="s">
        <v>899</v>
      </c>
      <c r="E8" s="175" t="s">
        <v>986</v>
      </c>
      <c r="F8" s="16" t="s">
        <v>13</v>
      </c>
      <c r="G8" s="16" t="s">
        <v>13</v>
      </c>
      <c r="H8" s="141" t="s">
        <v>72</v>
      </c>
      <c r="I8" s="135">
        <v>0.5</v>
      </c>
      <c r="J8" s="17" t="s">
        <v>880</v>
      </c>
      <c r="K8" s="142">
        <v>46143</v>
      </c>
      <c r="L8" s="142">
        <v>46249</v>
      </c>
      <c r="M8" s="19"/>
      <c r="N8" s="20"/>
      <c r="O8" s="28"/>
      <c r="P8" s="28"/>
      <c r="Q8" s="28"/>
      <c r="R8" s="28"/>
      <c r="S8" s="28"/>
      <c r="T8" s="28"/>
      <c r="U8" s="28"/>
      <c r="V8" s="28"/>
      <c r="W8" s="28"/>
      <c r="X8" s="28"/>
      <c r="Y8" s="33"/>
      <c r="Z8" s="33"/>
      <c r="AA8" s="33"/>
      <c r="AB8" s="33"/>
      <c r="AC8" s="33"/>
      <c r="AD8" s="33"/>
      <c r="AE8" s="33"/>
      <c r="AF8" s="33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20"/>
      <c r="BV8" s="20"/>
      <c r="BW8" s="31"/>
      <c r="BX8" s="31"/>
      <c r="BY8" s="20"/>
      <c r="BZ8" s="20"/>
      <c r="CA8" s="31"/>
      <c r="CB8" s="31"/>
      <c r="CC8" s="20"/>
      <c r="CD8" s="20"/>
      <c r="CE8" s="31"/>
      <c r="CF8" s="32"/>
    </row>
    <row r="9" spans="1:84" ht="15.75" x14ac:dyDescent="0.25">
      <c r="A9" s="151" t="s">
        <v>10</v>
      </c>
      <c r="B9" s="150" t="s">
        <v>25</v>
      </c>
      <c r="C9" s="25"/>
      <c r="D9" s="15" t="s">
        <v>26</v>
      </c>
      <c r="E9" s="150"/>
      <c r="F9" s="16" t="s">
        <v>13</v>
      </c>
      <c r="G9" s="16" t="s">
        <v>13</v>
      </c>
      <c r="H9" s="6" t="str">
        <f>IF(COUNTIF(H10,"Finalizado")=ROWS(H10),"Finalizado",IF(COUNTIF(H10:H10,"Pendiente")=ROWS(H10),"No iniciado","En proceso"))</f>
        <v>En proceso</v>
      </c>
      <c r="I9" s="148">
        <f>AVERAGE(I10)</f>
        <v>0.15</v>
      </c>
      <c r="J9" s="17" t="s">
        <v>14</v>
      </c>
      <c r="K9" s="142">
        <v>46068</v>
      </c>
      <c r="L9" s="142">
        <v>46142</v>
      </c>
      <c r="M9" s="19"/>
      <c r="N9" s="20"/>
      <c r="O9" s="34"/>
      <c r="P9" s="21"/>
      <c r="Q9" s="21"/>
      <c r="R9" s="21"/>
      <c r="S9" s="21"/>
      <c r="T9" s="21"/>
      <c r="U9" s="21"/>
      <c r="V9" s="21"/>
      <c r="W9" s="34"/>
      <c r="X9" s="34"/>
      <c r="Y9" s="33"/>
      <c r="Z9" s="33"/>
      <c r="AA9" s="33"/>
      <c r="AB9" s="33"/>
      <c r="AC9" s="33"/>
      <c r="AD9" s="33"/>
      <c r="AE9" s="33"/>
      <c r="AF9" s="33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20"/>
      <c r="BV9" s="20"/>
      <c r="BW9" s="31"/>
      <c r="BX9" s="31"/>
      <c r="BY9" s="20"/>
      <c r="BZ9" s="20"/>
      <c r="CA9" s="31"/>
      <c r="CB9" s="31"/>
      <c r="CC9" s="20"/>
      <c r="CD9" s="20"/>
      <c r="CE9" s="31"/>
      <c r="CF9" s="32"/>
    </row>
    <row r="10" spans="1:84" ht="27" x14ac:dyDescent="0.25">
      <c r="A10" s="151" t="s">
        <v>10</v>
      </c>
      <c r="B10" s="150" t="s">
        <v>27</v>
      </c>
      <c r="C10" s="25"/>
      <c r="D10" s="26" t="s">
        <v>28</v>
      </c>
      <c r="E10" s="150"/>
      <c r="F10" s="16" t="s">
        <v>13</v>
      </c>
      <c r="G10" s="16" t="s">
        <v>13</v>
      </c>
      <c r="H10" s="141" t="s">
        <v>72</v>
      </c>
      <c r="I10" s="135">
        <v>0.15</v>
      </c>
      <c r="J10" s="17" t="s">
        <v>878</v>
      </c>
      <c r="K10" s="142">
        <v>46068</v>
      </c>
      <c r="L10" s="142">
        <v>46265</v>
      </c>
      <c r="M10" s="19"/>
      <c r="N10" s="20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33"/>
      <c r="Z10" s="33"/>
      <c r="AA10" s="33"/>
      <c r="AB10" s="33"/>
      <c r="AC10" s="33"/>
      <c r="AD10" s="33"/>
      <c r="AE10" s="33"/>
      <c r="AF10" s="33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20"/>
      <c r="BV10" s="20"/>
      <c r="BW10" s="31"/>
      <c r="BX10" s="31"/>
      <c r="BY10" s="20"/>
      <c r="BZ10" s="20"/>
      <c r="CA10" s="31"/>
      <c r="CB10" s="31"/>
      <c r="CC10" s="20"/>
      <c r="CD10" s="20"/>
      <c r="CE10" s="31"/>
      <c r="CF10" s="32"/>
    </row>
    <row r="11" spans="1:84" ht="15.75" x14ac:dyDescent="0.25">
      <c r="A11" s="151" t="s">
        <v>10</v>
      </c>
      <c r="B11" s="150" t="s">
        <v>29</v>
      </c>
      <c r="C11" s="25"/>
      <c r="D11" s="15" t="s">
        <v>30</v>
      </c>
      <c r="E11" s="150"/>
      <c r="F11" s="16" t="s">
        <v>13</v>
      </c>
      <c r="G11" s="16" t="s">
        <v>13</v>
      </c>
      <c r="H11" s="16" t="s">
        <v>17</v>
      </c>
      <c r="I11" s="148">
        <f>AVERAGE(I12:I13)</f>
        <v>1</v>
      </c>
      <c r="J11" s="17" t="s">
        <v>14</v>
      </c>
      <c r="K11" s="142">
        <v>46068</v>
      </c>
      <c r="L11" s="142">
        <v>46142</v>
      </c>
      <c r="M11" s="19"/>
      <c r="N11" s="20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33"/>
      <c r="Z11" s="33"/>
      <c r="AA11" s="33"/>
      <c r="AB11" s="33"/>
      <c r="AC11" s="33"/>
      <c r="AD11" s="33"/>
      <c r="AE11" s="33"/>
      <c r="AF11" s="33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20"/>
      <c r="BV11" s="20"/>
      <c r="BW11" s="31"/>
      <c r="BX11" s="31"/>
      <c r="BY11" s="20"/>
      <c r="BZ11" s="20"/>
      <c r="CA11" s="31"/>
      <c r="CB11" s="31"/>
      <c r="CC11" s="20"/>
      <c r="CD11" s="20"/>
      <c r="CE11" s="31"/>
      <c r="CF11" s="32"/>
    </row>
    <row r="12" spans="1:84" ht="15.75" x14ac:dyDescent="0.25">
      <c r="A12" s="151" t="s">
        <v>10</v>
      </c>
      <c r="B12" s="150" t="s">
        <v>31</v>
      </c>
      <c r="C12" s="25"/>
      <c r="D12" s="26" t="s">
        <v>32</v>
      </c>
      <c r="E12" s="150"/>
      <c r="F12" s="16" t="s">
        <v>13</v>
      </c>
      <c r="G12" s="16" t="s">
        <v>13</v>
      </c>
      <c r="H12" s="17" t="s">
        <v>17</v>
      </c>
      <c r="I12" s="134">
        <v>1</v>
      </c>
      <c r="J12" s="17" t="s">
        <v>14</v>
      </c>
      <c r="K12" s="142">
        <v>46068</v>
      </c>
      <c r="L12" s="142">
        <v>46127</v>
      </c>
      <c r="M12" s="19"/>
      <c r="N12" s="20"/>
      <c r="O12" s="29"/>
      <c r="P12" s="29"/>
      <c r="Q12" s="29"/>
      <c r="R12" s="29"/>
      <c r="S12" s="29"/>
      <c r="T12" s="29"/>
      <c r="U12" s="29"/>
      <c r="V12" s="29"/>
      <c r="W12" s="33"/>
      <c r="X12" s="33"/>
      <c r="Y12" s="33"/>
      <c r="Z12" s="27"/>
      <c r="AA12" s="27"/>
      <c r="AB12" s="27"/>
      <c r="AC12" s="27"/>
      <c r="AD12" s="27"/>
      <c r="AE12" s="27"/>
      <c r="AF12" s="27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20"/>
      <c r="BV12" s="20"/>
      <c r="BW12" s="31"/>
      <c r="BX12" s="31"/>
      <c r="BY12" s="20"/>
      <c r="BZ12" s="20"/>
      <c r="CA12" s="31"/>
      <c r="CB12" s="31"/>
      <c r="CC12" s="20"/>
      <c r="CD12" s="20"/>
      <c r="CE12" s="31"/>
      <c r="CF12" s="32"/>
    </row>
    <row r="13" spans="1:84" ht="15.75" x14ac:dyDescent="0.25">
      <c r="A13" s="151" t="s">
        <v>10</v>
      </c>
      <c r="B13" s="150" t="s">
        <v>33</v>
      </c>
      <c r="C13" s="25"/>
      <c r="D13" s="26" t="s">
        <v>34</v>
      </c>
      <c r="E13" s="150"/>
      <c r="F13" s="16" t="s">
        <v>13</v>
      </c>
      <c r="G13" s="16" t="s">
        <v>13</v>
      </c>
      <c r="H13" s="17" t="s">
        <v>17</v>
      </c>
      <c r="I13" s="134">
        <v>1</v>
      </c>
      <c r="J13" s="17" t="s">
        <v>14</v>
      </c>
      <c r="K13" s="142">
        <v>46068</v>
      </c>
      <c r="L13" s="142">
        <v>46127</v>
      </c>
      <c r="M13" s="19"/>
      <c r="N13" s="20"/>
      <c r="O13" s="29"/>
      <c r="P13" s="29"/>
      <c r="Q13" s="29"/>
      <c r="R13" s="29"/>
      <c r="S13" s="29"/>
      <c r="T13" s="29"/>
      <c r="U13" s="29"/>
      <c r="V13" s="29"/>
      <c r="W13" s="33"/>
      <c r="X13" s="33"/>
      <c r="Y13" s="33"/>
      <c r="Z13" s="33"/>
      <c r="AA13" s="33"/>
      <c r="AB13" s="27"/>
      <c r="AC13" s="27"/>
      <c r="AD13" s="27"/>
      <c r="AE13" s="27"/>
      <c r="AF13" s="27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20"/>
      <c r="BV13" s="20"/>
      <c r="BW13" s="31"/>
      <c r="BX13" s="31"/>
      <c r="BY13" s="20"/>
      <c r="BZ13" s="20"/>
      <c r="CA13" s="31"/>
      <c r="CB13" s="31"/>
      <c r="CC13" s="20"/>
      <c r="CD13" s="20"/>
      <c r="CE13" s="31"/>
      <c r="CF13" s="32"/>
    </row>
    <row r="14" spans="1:84" ht="15.75" x14ac:dyDescent="0.25">
      <c r="A14" s="151" t="s">
        <v>10</v>
      </c>
      <c r="B14" s="150" t="s">
        <v>35</v>
      </c>
      <c r="C14" s="25"/>
      <c r="D14" s="15" t="s">
        <v>36</v>
      </c>
      <c r="E14" s="150"/>
      <c r="F14" s="16" t="s">
        <v>13</v>
      </c>
      <c r="G14" s="16" t="s">
        <v>13</v>
      </c>
      <c r="H14" s="16" t="s">
        <v>72</v>
      </c>
      <c r="I14" s="148">
        <f>AVERAGE(I15:I24)</f>
        <v>0.875</v>
      </c>
      <c r="J14" s="17" t="s">
        <v>14</v>
      </c>
      <c r="K14" s="142">
        <v>46143</v>
      </c>
      <c r="L14" s="142">
        <v>46218</v>
      </c>
      <c r="M14" s="19"/>
      <c r="N14" s="20"/>
      <c r="O14" s="27"/>
      <c r="P14" s="27"/>
      <c r="Q14" s="27"/>
      <c r="R14" s="27"/>
      <c r="S14" s="27"/>
      <c r="T14" s="27"/>
      <c r="U14" s="33"/>
      <c r="V14" s="27"/>
      <c r="W14" s="33"/>
      <c r="X14" s="33"/>
      <c r="Y14" s="21"/>
      <c r="Z14" s="21"/>
      <c r="AA14" s="21"/>
      <c r="AB14" s="21"/>
      <c r="AC14" s="21"/>
      <c r="AD14" s="21"/>
      <c r="AE14" s="21"/>
      <c r="AF14" s="21"/>
      <c r="AG14" s="2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20"/>
      <c r="BV14" s="20"/>
      <c r="BW14" s="31"/>
      <c r="BX14" s="31"/>
      <c r="BY14" s="20"/>
      <c r="BZ14" s="20"/>
      <c r="CA14" s="31"/>
      <c r="CB14" s="31"/>
      <c r="CC14" s="20"/>
      <c r="CD14" s="20"/>
      <c r="CE14" s="31"/>
      <c r="CF14" s="32"/>
    </row>
    <row r="15" spans="1:84" ht="15.75" x14ac:dyDescent="0.25">
      <c r="A15" s="151" t="s">
        <v>10</v>
      </c>
      <c r="B15" s="150" t="s">
        <v>37</v>
      </c>
      <c r="C15" s="25"/>
      <c r="D15" s="188" t="s">
        <v>38</v>
      </c>
      <c r="E15" s="150"/>
      <c r="F15" s="16" t="s">
        <v>13</v>
      </c>
      <c r="G15" s="16" t="s">
        <v>13</v>
      </c>
      <c r="H15" s="17" t="s">
        <v>17</v>
      </c>
      <c r="I15" s="134">
        <v>1</v>
      </c>
      <c r="J15" s="17" t="s">
        <v>14</v>
      </c>
      <c r="K15" s="142">
        <v>46143</v>
      </c>
      <c r="L15" s="142">
        <v>46188</v>
      </c>
      <c r="M15" s="19"/>
      <c r="N15" s="20"/>
      <c r="O15" s="27"/>
      <c r="P15" s="27"/>
      <c r="Q15" s="27"/>
      <c r="R15" s="27"/>
      <c r="S15" s="27"/>
      <c r="T15" s="27"/>
      <c r="U15" s="27"/>
      <c r="V15" s="27"/>
      <c r="W15" s="33"/>
      <c r="X15" s="33"/>
      <c r="Y15" s="29"/>
      <c r="Z15" s="29"/>
      <c r="AA15" s="29"/>
      <c r="AB15" s="29"/>
      <c r="AC15" s="29"/>
      <c r="AD15" s="33"/>
      <c r="AE15" s="27"/>
      <c r="AF15" s="27"/>
      <c r="AG15" s="20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20"/>
      <c r="BV15" s="20"/>
      <c r="BW15" s="31"/>
      <c r="BX15" s="31"/>
      <c r="BY15" s="20"/>
      <c r="BZ15" s="20"/>
      <c r="CA15" s="31"/>
      <c r="CB15" s="31"/>
      <c r="CC15" s="20"/>
      <c r="CD15" s="20"/>
      <c r="CE15" s="31"/>
      <c r="CF15" s="32"/>
    </row>
    <row r="16" spans="1:84" ht="15.75" x14ac:dyDescent="0.25">
      <c r="A16" s="151" t="s">
        <v>10</v>
      </c>
      <c r="B16" s="150" t="s">
        <v>39</v>
      </c>
      <c r="C16" s="25"/>
      <c r="D16" s="188" t="s">
        <v>40</v>
      </c>
      <c r="E16" s="150"/>
      <c r="F16" s="16" t="s">
        <v>13</v>
      </c>
      <c r="G16" s="16" t="s">
        <v>13</v>
      </c>
      <c r="H16" s="17" t="s">
        <v>17</v>
      </c>
      <c r="I16" s="134">
        <v>1</v>
      </c>
      <c r="J16" s="17" t="s">
        <v>14</v>
      </c>
      <c r="K16" s="142">
        <v>46143</v>
      </c>
      <c r="L16" s="142">
        <v>46188</v>
      </c>
      <c r="M16" s="19"/>
      <c r="N16" s="20"/>
      <c r="O16" s="27"/>
      <c r="P16" s="27"/>
      <c r="Q16" s="27"/>
      <c r="R16" s="27"/>
      <c r="S16" s="27"/>
      <c r="T16" s="27"/>
      <c r="U16" s="27"/>
      <c r="V16" s="27"/>
      <c r="W16" s="33"/>
      <c r="X16" s="33"/>
      <c r="Y16" s="29"/>
      <c r="Z16" s="29"/>
      <c r="AA16" s="29"/>
      <c r="AB16" s="29"/>
      <c r="AC16" s="29"/>
      <c r="AD16" s="33"/>
      <c r="AE16" s="27"/>
      <c r="AF16" s="27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20"/>
      <c r="BV16" s="20"/>
      <c r="BW16" s="31"/>
      <c r="BX16" s="31"/>
      <c r="BY16" s="20"/>
      <c r="BZ16" s="20"/>
      <c r="CA16" s="31"/>
      <c r="CB16" s="31"/>
      <c r="CC16" s="20"/>
      <c r="CD16" s="20"/>
      <c r="CE16" s="31"/>
      <c r="CF16" s="32"/>
    </row>
    <row r="17" spans="1:84" ht="15.75" x14ac:dyDescent="0.25">
      <c r="A17" s="151" t="s">
        <v>10</v>
      </c>
      <c r="B17" s="150" t="s">
        <v>41</v>
      </c>
      <c r="C17" s="25"/>
      <c r="D17" s="188" t="s">
        <v>42</v>
      </c>
      <c r="E17" s="150"/>
      <c r="F17" s="16" t="s">
        <v>13</v>
      </c>
      <c r="G17" s="16" t="s">
        <v>13</v>
      </c>
      <c r="H17" s="17" t="s">
        <v>17</v>
      </c>
      <c r="I17" s="134">
        <v>1</v>
      </c>
      <c r="J17" s="17" t="s">
        <v>14</v>
      </c>
      <c r="K17" s="142">
        <v>46143</v>
      </c>
      <c r="L17" s="142">
        <v>46188</v>
      </c>
      <c r="M17" s="19"/>
      <c r="N17" s="20"/>
      <c r="O17" s="27"/>
      <c r="P17" s="27"/>
      <c r="Q17" s="27"/>
      <c r="R17" s="27"/>
      <c r="S17" s="27"/>
      <c r="T17" s="27"/>
      <c r="U17" s="27"/>
      <c r="V17" s="27"/>
      <c r="W17" s="33"/>
      <c r="X17" s="33"/>
      <c r="Y17" s="29"/>
      <c r="Z17" s="29"/>
      <c r="AA17" s="29"/>
      <c r="AB17" s="29"/>
      <c r="AC17" s="29"/>
      <c r="AD17" s="33"/>
      <c r="AE17" s="27"/>
      <c r="AF17" s="27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20"/>
      <c r="BV17" s="20"/>
      <c r="BW17" s="31"/>
      <c r="BX17" s="31"/>
      <c r="BY17" s="20"/>
      <c r="BZ17" s="20"/>
      <c r="CA17" s="31"/>
      <c r="CB17" s="31"/>
      <c r="CC17" s="20"/>
      <c r="CD17" s="20"/>
      <c r="CE17" s="31"/>
      <c r="CF17" s="32"/>
    </row>
    <row r="18" spans="1:84" ht="15.75" x14ac:dyDescent="0.25">
      <c r="A18" s="151" t="s">
        <v>10</v>
      </c>
      <c r="B18" s="150" t="s">
        <v>43</v>
      </c>
      <c r="C18" s="25"/>
      <c r="D18" s="188" t="s">
        <v>44</v>
      </c>
      <c r="E18" s="150"/>
      <c r="F18" s="16" t="s">
        <v>13</v>
      </c>
      <c r="G18" s="16" t="s">
        <v>13</v>
      </c>
      <c r="H18" s="17" t="s">
        <v>17</v>
      </c>
      <c r="I18" s="134">
        <v>1</v>
      </c>
      <c r="J18" s="17" t="s">
        <v>14</v>
      </c>
      <c r="K18" s="142">
        <v>46143</v>
      </c>
      <c r="L18" s="142">
        <v>46188</v>
      </c>
      <c r="M18" s="19"/>
      <c r="N18" s="20"/>
      <c r="O18" s="27"/>
      <c r="P18" s="27"/>
      <c r="Q18" s="27"/>
      <c r="R18" s="27"/>
      <c r="S18" s="27"/>
      <c r="T18" s="27"/>
      <c r="U18" s="27"/>
      <c r="V18" s="27"/>
      <c r="W18" s="33"/>
      <c r="X18" s="33"/>
      <c r="Y18" s="29"/>
      <c r="Z18" s="29"/>
      <c r="AA18" s="29"/>
      <c r="AB18" s="29"/>
      <c r="AC18" s="29"/>
      <c r="AD18" s="33"/>
      <c r="AE18" s="27"/>
      <c r="AF18" s="27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20"/>
      <c r="BV18" s="20"/>
      <c r="BW18" s="31"/>
      <c r="BX18" s="31"/>
      <c r="BY18" s="20"/>
      <c r="BZ18" s="20"/>
      <c r="CA18" s="31"/>
      <c r="CB18" s="31"/>
      <c r="CC18" s="20"/>
      <c r="CD18" s="20"/>
      <c r="CE18" s="31"/>
      <c r="CF18" s="32"/>
    </row>
    <row r="19" spans="1:84" ht="15.75" x14ac:dyDescent="0.25">
      <c r="A19" s="151" t="s">
        <v>10</v>
      </c>
      <c r="B19" s="150" t="s">
        <v>45</v>
      </c>
      <c r="C19" s="25"/>
      <c r="D19" s="188" t="s">
        <v>46</v>
      </c>
      <c r="E19" s="150"/>
      <c r="F19" s="16" t="s">
        <v>13</v>
      </c>
      <c r="G19" s="16" t="s">
        <v>13</v>
      </c>
      <c r="H19" s="17" t="s">
        <v>17</v>
      </c>
      <c r="I19" s="134">
        <v>1</v>
      </c>
      <c r="J19" s="17" t="s">
        <v>14</v>
      </c>
      <c r="K19" s="142">
        <v>46143</v>
      </c>
      <c r="L19" s="142">
        <v>46188</v>
      </c>
      <c r="M19" s="19"/>
      <c r="N19" s="20"/>
      <c r="O19" s="27"/>
      <c r="P19" s="27"/>
      <c r="Q19" s="27"/>
      <c r="R19" s="27"/>
      <c r="S19" s="27"/>
      <c r="T19" s="27"/>
      <c r="U19" s="27"/>
      <c r="V19" s="27"/>
      <c r="W19" s="33"/>
      <c r="X19" s="33"/>
      <c r="Y19" s="29"/>
      <c r="Z19" s="29"/>
      <c r="AA19" s="29"/>
      <c r="AB19" s="29"/>
      <c r="AC19" s="29"/>
      <c r="AD19" s="33"/>
      <c r="AE19" s="27"/>
      <c r="AF19" s="27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20"/>
      <c r="BV19" s="20"/>
      <c r="BW19" s="31"/>
      <c r="BX19" s="31"/>
      <c r="BY19" s="20"/>
      <c r="BZ19" s="20"/>
      <c r="CA19" s="31"/>
      <c r="CB19" s="31"/>
      <c r="CC19" s="20"/>
      <c r="CD19" s="20"/>
      <c r="CE19" s="31"/>
      <c r="CF19" s="32"/>
    </row>
    <row r="20" spans="1:84" ht="15.75" x14ac:dyDescent="0.25">
      <c r="A20" s="151" t="s">
        <v>10</v>
      </c>
      <c r="B20" s="150" t="s">
        <v>47</v>
      </c>
      <c r="C20" s="25"/>
      <c r="D20" s="188" t="s">
        <v>48</v>
      </c>
      <c r="E20" s="150"/>
      <c r="F20" s="16" t="s">
        <v>13</v>
      </c>
      <c r="G20" s="16" t="s">
        <v>13</v>
      </c>
      <c r="H20" s="17" t="s">
        <v>17</v>
      </c>
      <c r="I20" s="134">
        <v>1</v>
      </c>
      <c r="J20" s="17" t="s">
        <v>14</v>
      </c>
      <c r="K20" s="142">
        <v>46143</v>
      </c>
      <c r="L20" s="142">
        <v>46218</v>
      </c>
      <c r="M20" s="19"/>
      <c r="N20" s="20"/>
      <c r="O20" s="27"/>
      <c r="P20" s="27"/>
      <c r="Q20" s="27"/>
      <c r="R20" s="27"/>
      <c r="S20" s="27"/>
      <c r="T20" s="27"/>
      <c r="U20" s="27"/>
      <c r="V20" s="27"/>
      <c r="W20" s="33"/>
      <c r="X20" s="33"/>
      <c r="Y20" s="29"/>
      <c r="Z20" s="29"/>
      <c r="AA20" s="29"/>
      <c r="AB20" s="29"/>
      <c r="AC20" s="29"/>
      <c r="AD20" s="29"/>
      <c r="AE20" s="28"/>
      <c r="AF20" s="28"/>
      <c r="AG20" s="30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20"/>
      <c r="BV20" s="20"/>
      <c r="BW20" s="31"/>
      <c r="BX20" s="31"/>
      <c r="BY20" s="20"/>
      <c r="BZ20" s="20"/>
      <c r="CA20" s="31"/>
      <c r="CB20" s="31"/>
      <c r="CC20" s="20"/>
      <c r="CD20" s="20"/>
      <c r="CE20" s="31"/>
      <c r="CF20" s="32"/>
    </row>
    <row r="21" spans="1:84" ht="27" x14ac:dyDescent="0.25">
      <c r="A21" s="151" t="s">
        <v>10</v>
      </c>
      <c r="B21" s="150" t="s">
        <v>49</v>
      </c>
      <c r="C21" s="25"/>
      <c r="D21" s="26" t="s">
        <v>50</v>
      </c>
      <c r="E21" s="175" t="s">
        <v>895</v>
      </c>
      <c r="F21" s="16" t="s">
        <v>13</v>
      </c>
      <c r="G21" s="16" t="s">
        <v>13</v>
      </c>
      <c r="H21" s="17" t="s">
        <v>21</v>
      </c>
      <c r="I21" s="134">
        <v>0</v>
      </c>
      <c r="J21" s="17" t="s">
        <v>878</v>
      </c>
      <c r="K21" s="142">
        <v>46143</v>
      </c>
      <c r="L21" s="142">
        <v>46234</v>
      </c>
      <c r="M21" s="19"/>
      <c r="N21" s="20"/>
      <c r="O21" s="27"/>
      <c r="P21" s="27"/>
      <c r="Q21" s="27"/>
      <c r="R21" s="27"/>
      <c r="S21" s="27"/>
      <c r="T21" s="27"/>
      <c r="U21" s="27"/>
      <c r="V21" s="27"/>
      <c r="W21" s="33"/>
      <c r="X21" s="33"/>
      <c r="Y21" s="29"/>
      <c r="Z21" s="29"/>
      <c r="AA21" s="29"/>
      <c r="AB21" s="29"/>
      <c r="AC21" s="29"/>
      <c r="AD21" s="29"/>
      <c r="AE21" s="28"/>
      <c r="AF21" s="28"/>
      <c r="AG21" s="30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20"/>
      <c r="BV21" s="20"/>
      <c r="BW21" s="31"/>
      <c r="BX21" s="31"/>
      <c r="BY21" s="20"/>
      <c r="BZ21" s="20"/>
      <c r="CA21" s="31"/>
      <c r="CB21" s="31"/>
      <c r="CC21" s="20"/>
      <c r="CD21" s="20"/>
      <c r="CE21" s="31"/>
      <c r="CF21" s="32"/>
    </row>
    <row r="22" spans="1:84" ht="15.75" x14ac:dyDescent="0.25">
      <c r="A22" s="151" t="s">
        <v>10</v>
      </c>
      <c r="B22" s="150" t="s">
        <v>51</v>
      </c>
      <c r="C22" s="25"/>
      <c r="D22" s="188" t="s">
        <v>52</v>
      </c>
      <c r="E22" s="175"/>
      <c r="F22" s="16" t="s">
        <v>13</v>
      </c>
      <c r="G22" s="16" t="s">
        <v>13</v>
      </c>
      <c r="H22" s="17" t="s">
        <v>17</v>
      </c>
      <c r="I22" s="134">
        <v>1</v>
      </c>
      <c r="J22" s="17" t="s">
        <v>14</v>
      </c>
      <c r="K22" s="142">
        <v>46143</v>
      </c>
      <c r="L22" s="142">
        <v>46188</v>
      </c>
      <c r="M22" s="19"/>
      <c r="N22" s="20"/>
      <c r="O22" s="27"/>
      <c r="P22" s="27"/>
      <c r="Q22" s="27"/>
      <c r="R22" s="27"/>
      <c r="S22" s="27"/>
      <c r="T22" s="27"/>
      <c r="U22" s="27"/>
      <c r="V22" s="27"/>
      <c r="W22" s="33"/>
      <c r="X22" s="33"/>
      <c r="Y22" s="29"/>
      <c r="Z22" s="29"/>
      <c r="AA22" s="29"/>
      <c r="AB22" s="29"/>
      <c r="AC22" s="29"/>
      <c r="AD22" s="33"/>
      <c r="AE22" s="27"/>
      <c r="AF22" s="27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20"/>
      <c r="BV22" s="20"/>
      <c r="BW22" s="31"/>
      <c r="BX22" s="31"/>
      <c r="BY22" s="20"/>
      <c r="BZ22" s="20"/>
      <c r="CA22" s="31"/>
      <c r="CB22" s="31"/>
      <c r="CC22" s="20"/>
      <c r="CD22" s="20"/>
      <c r="CE22" s="31"/>
      <c r="CF22" s="32"/>
    </row>
    <row r="23" spans="1:84" ht="15.75" x14ac:dyDescent="0.25">
      <c r="A23" s="151" t="s">
        <v>10</v>
      </c>
      <c r="B23" s="150" t="s">
        <v>53</v>
      </c>
      <c r="C23" s="25"/>
      <c r="D23" s="188" t="s">
        <v>54</v>
      </c>
      <c r="E23" s="175"/>
      <c r="F23" s="16" t="s">
        <v>13</v>
      </c>
      <c r="G23" s="16" t="s">
        <v>13</v>
      </c>
      <c r="H23" s="17" t="s">
        <v>17</v>
      </c>
      <c r="I23" s="134">
        <v>1</v>
      </c>
      <c r="J23" s="17" t="s">
        <v>14</v>
      </c>
      <c r="K23" s="142">
        <v>46143</v>
      </c>
      <c r="L23" s="142">
        <v>46188</v>
      </c>
      <c r="M23" s="19"/>
      <c r="N23" s="20"/>
      <c r="O23" s="27"/>
      <c r="P23" s="27"/>
      <c r="Q23" s="27"/>
      <c r="R23" s="27"/>
      <c r="S23" s="27"/>
      <c r="T23" s="27"/>
      <c r="U23" s="27"/>
      <c r="V23" s="27"/>
      <c r="W23" s="33"/>
      <c r="X23" s="33"/>
      <c r="Y23" s="29"/>
      <c r="Z23" s="29"/>
      <c r="AA23" s="29"/>
      <c r="AB23" s="29"/>
      <c r="AC23" s="29"/>
      <c r="AD23" s="33"/>
      <c r="AE23" s="27"/>
      <c r="AF23" s="27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20"/>
      <c r="BV23" s="20"/>
      <c r="BW23" s="31"/>
      <c r="BX23" s="31"/>
      <c r="BY23" s="20"/>
      <c r="BZ23" s="20"/>
      <c r="CA23" s="31"/>
      <c r="CB23" s="31"/>
      <c r="CC23" s="20"/>
      <c r="CD23" s="20"/>
      <c r="CE23" s="31"/>
      <c r="CF23" s="32"/>
    </row>
    <row r="24" spans="1:84" ht="27" x14ac:dyDescent="0.25">
      <c r="A24" s="151" t="s">
        <v>10</v>
      </c>
      <c r="B24" s="150" t="s">
        <v>55</v>
      </c>
      <c r="C24" s="25" t="s">
        <v>20</v>
      </c>
      <c r="D24" s="26" t="s">
        <v>896</v>
      </c>
      <c r="E24" s="175" t="s">
        <v>987</v>
      </c>
      <c r="F24" s="16" t="s">
        <v>13</v>
      </c>
      <c r="G24" s="16" t="s">
        <v>13</v>
      </c>
      <c r="H24" s="17" t="s">
        <v>72</v>
      </c>
      <c r="I24" s="134">
        <v>0.75</v>
      </c>
      <c r="J24" s="17" t="s">
        <v>878</v>
      </c>
      <c r="K24" s="142">
        <v>46143</v>
      </c>
      <c r="L24" s="142">
        <v>46227</v>
      </c>
      <c r="M24" s="19"/>
      <c r="N24" s="20"/>
      <c r="O24" s="27"/>
      <c r="P24" s="27"/>
      <c r="Q24" s="27"/>
      <c r="R24" s="27"/>
      <c r="S24" s="27"/>
      <c r="T24" s="27"/>
      <c r="U24" s="27"/>
      <c r="V24" s="27"/>
      <c r="W24" s="33"/>
      <c r="X24" s="33"/>
      <c r="Y24" s="29"/>
      <c r="Z24" s="29"/>
      <c r="AA24" s="29"/>
      <c r="AB24" s="29"/>
      <c r="AC24" s="29"/>
      <c r="AD24" s="29"/>
      <c r="AE24" s="28"/>
      <c r="AF24" s="28"/>
      <c r="AG24" s="30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20"/>
      <c r="BV24" s="20"/>
      <c r="BW24" s="31"/>
      <c r="BX24" s="31"/>
      <c r="BY24" s="20"/>
      <c r="BZ24" s="20"/>
      <c r="CA24" s="31"/>
      <c r="CB24" s="31"/>
      <c r="CC24" s="20"/>
      <c r="CD24" s="20"/>
      <c r="CE24" s="31"/>
      <c r="CF24" s="32"/>
    </row>
    <row r="25" spans="1:84" ht="15.75" x14ac:dyDescent="0.25">
      <c r="A25" s="151" t="s">
        <v>10</v>
      </c>
      <c r="B25" s="150" t="s">
        <v>56</v>
      </c>
      <c r="C25" s="25"/>
      <c r="D25" s="15" t="s">
        <v>57</v>
      </c>
      <c r="E25" s="150"/>
      <c r="F25" s="16" t="s">
        <v>13</v>
      </c>
      <c r="G25" s="16" t="s">
        <v>13</v>
      </c>
      <c r="H25" s="16" t="s">
        <v>17</v>
      </c>
      <c r="I25" s="148">
        <f>AVERAGE(I26:I28)</f>
        <v>1</v>
      </c>
      <c r="J25" s="17" t="s">
        <v>14</v>
      </c>
      <c r="K25" s="142">
        <v>46068</v>
      </c>
      <c r="L25" s="142">
        <v>46142</v>
      </c>
      <c r="M25" s="19"/>
      <c r="N25" s="20"/>
      <c r="O25" s="21"/>
      <c r="P25" s="21"/>
      <c r="Q25" s="21"/>
      <c r="R25" s="21"/>
      <c r="S25" s="21"/>
      <c r="T25" s="21"/>
      <c r="U25" s="21"/>
      <c r="V25" s="21"/>
      <c r="W25" s="34"/>
      <c r="X25" s="34"/>
      <c r="Y25" s="33"/>
      <c r="Z25" s="33"/>
      <c r="AA25" s="33"/>
      <c r="AB25" s="33"/>
      <c r="AC25" s="33"/>
      <c r="AD25" s="33"/>
      <c r="AE25" s="27"/>
      <c r="AF25" s="27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20"/>
      <c r="BV25" s="20"/>
      <c r="BW25" s="31"/>
      <c r="BX25" s="31"/>
      <c r="BY25" s="20"/>
      <c r="BZ25" s="20"/>
      <c r="CA25" s="31"/>
      <c r="CB25" s="31"/>
      <c r="CC25" s="20"/>
      <c r="CD25" s="20"/>
      <c r="CE25" s="31"/>
      <c r="CF25" s="32"/>
    </row>
    <row r="26" spans="1:84" ht="15.75" x14ac:dyDescent="0.25">
      <c r="A26" s="151" t="s">
        <v>10</v>
      </c>
      <c r="B26" s="150" t="s">
        <v>58</v>
      </c>
      <c r="C26" s="25"/>
      <c r="D26" s="26" t="s">
        <v>59</v>
      </c>
      <c r="E26" s="150"/>
      <c r="F26" s="16" t="s">
        <v>13</v>
      </c>
      <c r="G26" s="16" t="s">
        <v>13</v>
      </c>
      <c r="H26" s="17" t="s">
        <v>17</v>
      </c>
      <c r="I26" s="134">
        <v>1</v>
      </c>
      <c r="J26" s="17" t="s">
        <v>14</v>
      </c>
      <c r="K26" s="142">
        <v>46068</v>
      </c>
      <c r="L26" s="142">
        <v>46142</v>
      </c>
      <c r="M26" s="19"/>
      <c r="N26" s="20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33"/>
      <c r="Z26" s="33"/>
      <c r="AA26" s="33"/>
      <c r="AB26" s="33"/>
      <c r="AC26" s="33"/>
      <c r="AD26" s="33"/>
      <c r="AE26" s="27"/>
      <c r="AF26" s="27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20"/>
      <c r="BV26" s="20"/>
      <c r="BW26" s="31"/>
      <c r="BX26" s="31"/>
      <c r="BY26" s="20"/>
      <c r="BZ26" s="20"/>
      <c r="CA26" s="31"/>
      <c r="CB26" s="31"/>
      <c r="CC26" s="20"/>
      <c r="CD26" s="20"/>
      <c r="CE26" s="31"/>
      <c r="CF26" s="32"/>
    </row>
    <row r="27" spans="1:84" ht="15.75" x14ac:dyDescent="0.25">
      <c r="A27" s="151" t="s">
        <v>10</v>
      </c>
      <c r="B27" s="150" t="s">
        <v>60</v>
      </c>
      <c r="C27" s="25"/>
      <c r="D27" s="26" t="s">
        <v>61</v>
      </c>
      <c r="E27" s="150"/>
      <c r="F27" s="16" t="s">
        <v>13</v>
      </c>
      <c r="G27" s="16" t="s">
        <v>13</v>
      </c>
      <c r="H27" s="17" t="s">
        <v>17</v>
      </c>
      <c r="I27" s="134">
        <v>1</v>
      </c>
      <c r="J27" s="17" t="s">
        <v>14</v>
      </c>
      <c r="K27" s="142">
        <v>46068</v>
      </c>
      <c r="L27" s="142">
        <v>46127</v>
      </c>
      <c r="M27" s="19"/>
      <c r="N27" s="20"/>
      <c r="O27" s="29"/>
      <c r="P27" s="29"/>
      <c r="Q27" s="29"/>
      <c r="R27" s="29"/>
      <c r="S27" s="29"/>
      <c r="T27" s="29"/>
      <c r="U27" s="29"/>
      <c r="V27" s="33"/>
      <c r="W27" s="33"/>
      <c r="X27" s="33"/>
      <c r="Y27" s="33"/>
      <c r="Z27" s="33"/>
      <c r="AA27" s="33"/>
      <c r="AB27" s="33"/>
      <c r="AC27" s="33"/>
      <c r="AD27" s="33"/>
      <c r="AE27" s="27"/>
      <c r="AF27" s="27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20"/>
      <c r="BV27" s="20"/>
      <c r="BW27" s="31"/>
      <c r="BX27" s="31"/>
      <c r="BY27" s="20"/>
      <c r="BZ27" s="20"/>
      <c r="CA27" s="31"/>
      <c r="CB27" s="31"/>
      <c r="CC27" s="20"/>
      <c r="CD27" s="20"/>
      <c r="CE27" s="31"/>
      <c r="CF27" s="32"/>
    </row>
    <row r="28" spans="1:84" ht="15.75" x14ac:dyDescent="0.25">
      <c r="A28" s="151" t="s">
        <v>10</v>
      </c>
      <c r="B28" s="150" t="s">
        <v>62</v>
      </c>
      <c r="C28" s="25"/>
      <c r="D28" s="26" t="s">
        <v>63</v>
      </c>
      <c r="E28" s="150"/>
      <c r="F28" s="16" t="s">
        <v>13</v>
      </c>
      <c r="G28" s="16" t="s">
        <v>13</v>
      </c>
      <c r="H28" s="17" t="s">
        <v>17</v>
      </c>
      <c r="I28" s="134">
        <v>1</v>
      </c>
      <c r="J28" s="17" t="s">
        <v>14</v>
      </c>
      <c r="K28" s="142">
        <v>46068</v>
      </c>
      <c r="L28" s="142">
        <v>46142</v>
      </c>
      <c r="M28" s="19"/>
      <c r="N28" s="20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33"/>
      <c r="Z28" s="33"/>
      <c r="AA28" s="33"/>
      <c r="AB28" s="33"/>
      <c r="AC28" s="33"/>
      <c r="AD28" s="33"/>
      <c r="AE28" s="27"/>
      <c r="AF28" s="27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20"/>
      <c r="BV28" s="20"/>
      <c r="BW28" s="31"/>
      <c r="BX28" s="31"/>
      <c r="BY28" s="20"/>
      <c r="BZ28" s="20"/>
      <c r="CA28" s="31"/>
      <c r="CB28" s="31"/>
      <c r="CC28" s="20"/>
      <c r="CD28" s="20"/>
      <c r="CE28" s="31"/>
      <c r="CF28" s="32"/>
    </row>
    <row r="29" spans="1:84" ht="15.75" x14ac:dyDescent="0.25">
      <c r="A29" s="151" t="s">
        <v>10</v>
      </c>
      <c r="B29" s="150" t="s">
        <v>64</v>
      </c>
      <c r="C29" s="25"/>
      <c r="D29" s="15" t="s">
        <v>65</v>
      </c>
      <c r="E29" s="150"/>
      <c r="F29" s="16" t="s">
        <v>13</v>
      </c>
      <c r="G29" s="16" t="s">
        <v>13</v>
      </c>
      <c r="H29" s="16" t="s">
        <v>17</v>
      </c>
      <c r="I29" s="148">
        <f>AVERAGE(I30:I32)</f>
        <v>0.83333333333333337</v>
      </c>
      <c r="J29" s="17" t="s">
        <v>14</v>
      </c>
      <c r="K29" s="142">
        <v>46068</v>
      </c>
      <c r="L29" s="142">
        <v>46218</v>
      </c>
      <c r="M29" s="19"/>
      <c r="N29" s="20"/>
      <c r="O29" s="21"/>
      <c r="P29" s="21"/>
      <c r="Q29" s="21"/>
      <c r="R29" s="21"/>
      <c r="S29" s="21"/>
      <c r="T29" s="21"/>
      <c r="U29" s="21"/>
      <c r="V29" s="21"/>
      <c r="W29" s="34"/>
      <c r="X29" s="34"/>
      <c r="Y29" s="34"/>
      <c r="Z29" s="34"/>
      <c r="AA29" s="34"/>
      <c r="AB29" s="34"/>
      <c r="AC29" s="34"/>
      <c r="AD29" s="34"/>
      <c r="AE29" s="21"/>
      <c r="AF29" s="21"/>
      <c r="AG29" s="35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20"/>
      <c r="BV29" s="20"/>
      <c r="BW29" s="31"/>
      <c r="BX29" s="31"/>
      <c r="BY29" s="20"/>
      <c r="BZ29" s="20"/>
      <c r="CA29" s="31"/>
      <c r="CB29" s="31"/>
      <c r="CC29" s="20"/>
      <c r="CD29" s="20"/>
      <c r="CE29" s="31"/>
      <c r="CF29" s="32"/>
    </row>
    <row r="30" spans="1:84" ht="27" x14ac:dyDescent="0.25">
      <c r="A30" s="151" t="s">
        <v>10</v>
      </c>
      <c r="B30" s="150" t="s">
        <v>66</v>
      </c>
      <c r="C30" s="25"/>
      <c r="D30" s="26" t="s">
        <v>67</v>
      </c>
      <c r="E30" s="150"/>
      <c r="F30" s="16" t="s">
        <v>13</v>
      </c>
      <c r="G30" s="16" t="s">
        <v>13</v>
      </c>
      <c r="H30" s="17" t="s">
        <v>17</v>
      </c>
      <c r="I30" s="134">
        <v>1</v>
      </c>
      <c r="J30" s="17" t="s">
        <v>14</v>
      </c>
      <c r="K30" s="142">
        <v>46068</v>
      </c>
      <c r="L30" s="142">
        <v>46157</v>
      </c>
      <c r="M30" s="19"/>
      <c r="N30" s="20"/>
      <c r="O30" s="28"/>
      <c r="P30" s="28"/>
      <c r="Q30" s="28"/>
      <c r="R30" s="28"/>
      <c r="S30" s="28"/>
      <c r="T30" s="28"/>
      <c r="U30" s="28"/>
      <c r="V30" s="28"/>
      <c r="W30" s="29"/>
      <c r="X30" s="29"/>
      <c r="Y30" s="29"/>
      <c r="Z30" s="29"/>
      <c r="AA30" s="33"/>
      <c r="AB30" s="33"/>
      <c r="AC30" s="33"/>
      <c r="AD30" s="33"/>
      <c r="AE30" s="27"/>
      <c r="AF30" s="27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20"/>
      <c r="BV30" s="20"/>
      <c r="BW30" s="31"/>
      <c r="BX30" s="31"/>
      <c r="BY30" s="20"/>
      <c r="BZ30" s="20"/>
      <c r="CA30" s="31"/>
      <c r="CB30" s="31"/>
      <c r="CC30" s="20"/>
      <c r="CD30" s="20"/>
      <c r="CE30" s="31"/>
      <c r="CF30" s="32"/>
    </row>
    <row r="31" spans="1:84" ht="15.75" x14ac:dyDescent="0.25">
      <c r="A31" s="151" t="s">
        <v>10</v>
      </c>
      <c r="B31" s="150" t="s">
        <v>68</v>
      </c>
      <c r="C31" s="25"/>
      <c r="D31" s="26" t="s">
        <v>69</v>
      </c>
      <c r="E31" s="150"/>
      <c r="F31" s="16" t="s">
        <v>13</v>
      </c>
      <c r="G31" s="16" t="s">
        <v>13</v>
      </c>
      <c r="H31" s="17" t="s">
        <v>17</v>
      </c>
      <c r="I31" s="134">
        <v>1</v>
      </c>
      <c r="J31" s="17" t="s">
        <v>14</v>
      </c>
      <c r="K31" s="142">
        <v>46068</v>
      </c>
      <c r="L31" s="142">
        <v>46157</v>
      </c>
      <c r="M31" s="19"/>
      <c r="N31" s="20"/>
      <c r="O31" s="28"/>
      <c r="P31" s="28"/>
      <c r="Q31" s="28"/>
      <c r="R31" s="28"/>
      <c r="S31" s="28"/>
      <c r="T31" s="28"/>
      <c r="U31" s="28"/>
      <c r="V31" s="28"/>
      <c r="W31" s="29"/>
      <c r="X31" s="29"/>
      <c r="Y31" s="29"/>
      <c r="Z31" s="29"/>
      <c r="AA31" s="33"/>
      <c r="AB31" s="33"/>
      <c r="AC31" s="33"/>
      <c r="AD31" s="33"/>
      <c r="AE31" s="27"/>
      <c r="AF31" s="27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20"/>
      <c r="BV31" s="20"/>
      <c r="BW31" s="31"/>
      <c r="BX31" s="31"/>
      <c r="BY31" s="20"/>
      <c r="BZ31" s="20"/>
      <c r="CA31" s="31"/>
      <c r="CB31" s="31"/>
      <c r="CC31" s="20"/>
      <c r="CD31" s="20"/>
      <c r="CE31" s="31"/>
      <c r="CF31" s="32"/>
    </row>
    <row r="32" spans="1:84" ht="27" x14ac:dyDescent="0.25">
      <c r="A32" s="151" t="s">
        <v>10</v>
      </c>
      <c r="B32" s="150" t="s">
        <v>70</v>
      </c>
      <c r="C32" s="25"/>
      <c r="D32" s="26" t="s">
        <v>71</v>
      </c>
      <c r="E32" s="150"/>
      <c r="F32" s="16" t="s">
        <v>13</v>
      </c>
      <c r="G32" s="16" t="s">
        <v>13</v>
      </c>
      <c r="H32" s="17" t="s">
        <v>72</v>
      </c>
      <c r="I32" s="134">
        <v>0.5</v>
      </c>
      <c r="J32" s="17" t="s">
        <v>880</v>
      </c>
      <c r="K32" s="142">
        <v>46068</v>
      </c>
      <c r="L32" s="142">
        <v>46249</v>
      </c>
      <c r="M32" s="19"/>
      <c r="N32" s="20"/>
      <c r="O32" s="28"/>
      <c r="P32" s="28"/>
      <c r="Q32" s="28"/>
      <c r="R32" s="28"/>
      <c r="S32" s="28"/>
      <c r="T32" s="28"/>
      <c r="U32" s="28"/>
      <c r="V32" s="28"/>
      <c r="W32" s="29"/>
      <c r="X32" s="29"/>
      <c r="Y32" s="29"/>
      <c r="Z32" s="29"/>
      <c r="AA32" s="29"/>
      <c r="AB32" s="29"/>
      <c r="AC32" s="29"/>
      <c r="AD32" s="29"/>
      <c r="AE32" s="28"/>
      <c r="AF32" s="28"/>
      <c r="AG32" s="30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20"/>
      <c r="BV32" s="20"/>
      <c r="BW32" s="31"/>
      <c r="BX32" s="31"/>
      <c r="BY32" s="20"/>
      <c r="BZ32" s="20"/>
      <c r="CA32" s="31"/>
      <c r="CB32" s="31"/>
      <c r="CC32" s="20"/>
      <c r="CD32" s="20"/>
      <c r="CE32" s="31"/>
      <c r="CF32" s="32"/>
    </row>
    <row r="33" spans="1:84" ht="15.75" x14ac:dyDescent="0.25">
      <c r="A33" s="151" t="s">
        <v>10</v>
      </c>
      <c r="B33" s="150" t="s">
        <v>73</v>
      </c>
      <c r="C33" s="25"/>
      <c r="D33" s="15" t="s">
        <v>74</v>
      </c>
      <c r="E33" s="150"/>
      <c r="F33" s="16" t="s">
        <v>13</v>
      </c>
      <c r="G33" s="16" t="s">
        <v>13</v>
      </c>
      <c r="H33" s="16" t="s">
        <v>17</v>
      </c>
      <c r="I33" s="148">
        <f>AVERAGE(I34)</f>
        <v>1</v>
      </c>
      <c r="J33" s="17" t="s">
        <v>14</v>
      </c>
      <c r="K33" s="142">
        <v>46143</v>
      </c>
      <c r="L33" s="142">
        <v>46218</v>
      </c>
      <c r="M33" s="19"/>
      <c r="N33" s="20"/>
      <c r="O33" s="27"/>
      <c r="P33" s="27"/>
      <c r="Q33" s="27"/>
      <c r="R33" s="27"/>
      <c r="S33" s="27"/>
      <c r="T33" s="27"/>
      <c r="U33" s="27"/>
      <c r="V33" s="27"/>
      <c r="W33" s="33"/>
      <c r="X33" s="33"/>
      <c r="Y33" s="34"/>
      <c r="Z33" s="34"/>
      <c r="AA33" s="34"/>
      <c r="AB33" s="34"/>
      <c r="AC33" s="34"/>
      <c r="AD33" s="34"/>
      <c r="AE33" s="21"/>
      <c r="AF33" s="21"/>
      <c r="AG33" s="35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20"/>
      <c r="BV33" s="20"/>
      <c r="BW33" s="31"/>
      <c r="BX33" s="31"/>
      <c r="BY33" s="20"/>
      <c r="BZ33" s="20"/>
      <c r="CA33" s="31"/>
      <c r="CB33" s="31"/>
      <c r="CC33" s="20"/>
      <c r="CD33" s="20"/>
      <c r="CE33" s="31"/>
      <c r="CF33" s="32"/>
    </row>
    <row r="34" spans="1:84" ht="15.75" x14ac:dyDescent="0.25">
      <c r="A34" s="151" t="s">
        <v>10</v>
      </c>
      <c r="B34" s="150" t="s">
        <v>75</v>
      </c>
      <c r="C34" s="25"/>
      <c r="D34" s="26" t="s">
        <v>76</v>
      </c>
      <c r="E34" s="150"/>
      <c r="F34" s="16" t="s">
        <v>13</v>
      </c>
      <c r="G34" s="16" t="s">
        <v>13</v>
      </c>
      <c r="H34" s="17" t="s">
        <v>17</v>
      </c>
      <c r="I34" s="134">
        <v>1</v>
      </c>
      <c r="J34" s="17" t="s">
        <v>14</v>
      </c>
      <c r="K34" s="142">
        <v>46143</v>
      </c>
      <c r="L34" s="142">
        <v>46204</v>
      </c>
      <c r="M34" s="19"/>
      <c r="N34" s="20"/>
      <c r="O34" s="27"/>
      <c r="P34" s="27"/>
      <c r="Q34" s="27"/>
      <c r="R34" s="27"/>
      <c r="S34" s="27"/>
      <c r="T34" s="27"/>
      <c r="U34" s="27"/>
      <c r="V34" s="27"/>
      <c r="W34" s="33"/>
      <c r="X34" s="33"/>
      <c r="Y34" s="29"/>
      <c r="Z34" s="29"/>
      <c r="AA34" s="29"/>
      <c r="AB34" s="29"/>
      <c r="AC34" s="29"/>
      <c r="AD34" s="29"/>
      <c r="AE34" s="28"/>
      <c r="AF34" s="28"/>
      <c r="AG34" s="30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20"/>
      <c r="BV34" s="20"/>
      <c r="BW34" s="31"/>
      <c r="BX34" s="31"/>
      <c r="BY34" s="20"/>
      <c r="BZ34" s="20"/>
      <c r="CA34" s="31"/>
      <c r="CB34" s="31"/>
      <c r="CC34" s="20"/>
      <c r="CD34" s="20"/>
      <c r="CE34" s="31"/>
      <c r="CF34" s="32"/>
    </row>
    <row r="35" spans="1:84" ht="15.75" x14ac:dyDescent="0.25">
      <c r="A35" s="151" t="s">
        <v>10</v>
      </c>
      <c r="B35" s="150" t="s">
        <v>77</v>
      </c>
      <c r="C35" s="25"/>
      <c r="D35" s="15" t="s">
        <v>78</v>
      </c>
      <c r="E35" s="150"/>
      <c r="F35" s="16" t="s">
        <v>13</v>
      </c>
      <c r="G35" s="16" t="s">
        <v>13</v>
      </c>
      <c r="H35" s="16" t="s">
        <v>17</v>
      </c>
      <c r="I35" s="148">
        <f>AVERAGE(I36)</f>
        <v>1</v>
      </c>
      <c r="J35" s="17" t="s">
        <v>79</v>
      </c>
      <c r="K35" s="142">
        <v>46068</v>
      </c>
      <c r="L35" s="142">
        <v>46218</v>
      </c>
      <c r="M35" s="19"/>
      <c r="N35" s="20"/>
      <c r="O35" s="21"/>
      <c r="P35" s="21"/>
      <c r="Q35" s="21"/>
      <c r="R35" s="21"/>
      <c r="S35" s="21"/>
      <c r="T35" s="21"/>
      <c r="U35" s="21"/>
      <c r="V35" s="21"/>
      <c r="W35" s="34"/>
      <c r="X35" s="34"/>
      <c r="Y35" s="34"/>
      <c r="Z35" s="34"/>
      <c r="AA35" s="34"/>
      <c r="AB35" s="34"/>
      <c r="AC35" s="34"/>
      <c r="AD35" s="34"/>
      <c r="AE35" s="21"/>
      <c r="AF35" s="21"/>
      <c r="AG35" s="35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20"/>
      <c r="BV35" s="20"/>
      <c r="BW35" s="31"/>
      <c r="BX35" s="31"/>
      <c r="BY35" s="20"/>
      <c r="BZ35" s="20"/>
      <c r="CA35" s="31"/>
      <c r="CB35" s="31"/>
      <c r="CC35" s="20"/>
      <c r="CD35" s="20"/>
      <c r="CE35" s="31"/>
      <c r="CF35" s="32"/>
    </row>
    <row r="36" spans="1:84" ht="15.75" x14ac:dyDescent="0.25">
      <c r="A36" s="151" t="s">
        <v>10</v>
      </c>
      <c r="B36" s="150" t="s">
        <v>80</v>
      </c>
      <c r="C36" s="25"/>
      <c r="D36" s="26" t="s">
        <v>81</v>
      </c>
      <c r="E36" s="150"/>
      <c r="F36" s="16" t="s">
        <v>13</v>
      </c>
      <c r="G36" s="16" t="s">
        <v>13</v>
      </c>
      <c r="H36" s="17" t="s">
        <v>17</v>
      </c>
      <c r="I36" s="134">
        <v>1</v>
      </c>
      <c r="J36" s="17" t="s">
        <v>79</v>
      </c>
      <c r="K36" s="142">
        <v>46068</v>
      </c>
      <c r="L36" s="142">
        <v>46218</v>
      </c>
      <c r="M36" s="19"/>
      <c r="N36" s="20"/>
      <c r="O36" s="28"/>
      <c r="P36" s="28"/>
      <c r="Q36" s="28"/>
      <c r="R36" s="28"/>
      <c r="S36" s="28"/>
      <c r="T36" s="28"/>
      <c r="U36" s="28"/>
      <c r="V36" s="28"/>
      <c r="W36" s="29"/>
      <c r="X36" s="29"/>
      <c r="Y36" s="29"/>
      <c r="Z36" s="29"/>
      <c r="AA36" s="29"/>
      <c r="AB36" s="29"/>
      <c r="AC36" s="29"/>
      <c r="AD36" s="29"/>
      <c r="AE36" s="28"/>
      <c r="AF36" s="28"/>
      <c r="AG36" s="30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20"/>
      <c r="BV36" s="20"/>
      <c r="BW36" s="31"/>
      <c r="BX36" s="31"/>
      <c r="BY36" s="20"/>
      <c r="BZ36" s="20"/>
      <c r="CA36" s="31"/>
      <c r="CB36" s="31"/>
      <c r="CC36" s="20"/>
      <c r="CD36" s="20"/>
      <c r="CE36" s="31"/>
      <c r="CF36" s="32"/>
    </row>
    <row r="37" spans="1:84" ht="15.75" x14ac:dyDescent="0.25">
      <c r="A37" s="151" t="s">
        <v>10</v>
      </c>
      <c r="B37" s="150" t="s">
        <v>82</v>
      </c>
      <c r="C37" s="25"/>
      <c r="D37" s="15" t="s">
        <v>83</v>
      </c>
      <c r="E37" s="150"/>
      <c r="F37" s="16" t="s">
        <v>13</v>
      </c>
      <c r="G37" s="16" t="s">
        <v>13</v>
      </c>
      <c r="H37" s="16" t="s">
        <v>72</v>
      </c>
      <c r="I37" s="148">
        <f>AVERAGE(I38:I39)</f>
        <v>0</v>
      </c>
      <c r="J37" s="17" t="s">
        <v>14</v>
      </c>
      <c r="K37" s="142">
        <v>46143</v>
      </c>
      <c r="L37" s="142">
        <v>46249</v>
      </c>
      <c r="M37" s="19"/>
      <c r="N37" s="20"/>
      <c r="O37" s="27"/>
      <c r="P37" s="27"/>
      <c r="Q37" s="27"/>
      <c r="R37" s="27"/>
      <c r="S37" s="27"/>
      <c r="T37" s="27"/>
      <c r="U37" s="27"/>
      <c r="V37" s="27"/>
      <c r="W37" s="33"/>
      <c r="X37" s="33"/>
      <c r="Y37" s="34"/>
      <c r="Z37" s="34"/>
      <c r="AA37" s="34"/>
      <c r="AB37" s="34"/>
      <c r="AC37" s="34"/>
      <c r="AD37" s="34"/>
      <c r="AE37" s="21"/>
      <c r="AF37" s="21"/>
      <c r="AG37" s="35"/>
      <c r="AH37" s="35"/>
      <c r="AI37" s="35"/>
      <c r="AJ37" s="35"/>
      <c r="AK37" s="35"/>
      <c r="AL37" s="35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20"/>
      <c r="BV37" s="20"/>
      <c r="BW37" s="31"/>
      <c r="BX37" s="31"/>
      <c r="BY37" s="20"/>
      <c r="BZ37" s="20"/>
      <c r="CA37" s="31"/>
      <c r="CB37" s="31"/>
      <c r="CC37" s="20"/>
      <c r="CD37" s="20"/>
      <c r="CE37" s="31"/>
      <c r="CF37" s="32"/>
    </row>
    <row r="38" spans="1:84" ht="40.5" x14ac:dyDescent="0.25">
      <c r="A38" s="151" t="s">
        <v>10</v>
      </c>
      <c r="B38" s="150" t="s">
        <v>85</v>
      </c>
      <c r="C38" s="25"/>
      <c r="D38" s="26" t="s">
        <v>904</v>
      </c>
      <c r="E38" s="175" t="s">
        <v>903</v>
      </c>
      <c r="F38" s="16" t="s">
        <v>13</v>
      </c>
      <c r="G38" s="16" t="s">
        <v>13</v>
      </c>
      <c r="H38" s="17" t="s">
        <v>21</v>
      </c>
      <c r="I38" s="134">
        <v>0</v>
      </c>
      <c r="J38" s="17" t="s">
        <v>14</v>
      </c>
      <c r="K38" s="142">
        <v>46143</v>
      </c>
      <c r="L38" s="142">
        <v>46218</v>
      </c>
      <c r="M38" s="19"/>
      <c r="N38" s="20"/>
      <c r="O38" s="27"/>
      <c r="P38" s="27"/>
      <c r="Q38" s="27"/>
      <c r="R38" s="27"/>
      <c r="S38" s="27"/>
      <c r="T38" s="27"/>
      <c r="U38" s="27"/>
      <c r="V38" s="27"/>
      <c r="W38" s="33"/>
      <c r="X38" s="33"/>
      <c r="Y38" s="29"/>
      <c r="Z38" s="29"/>
      <c r="AA38" s="29"/>
      <c r="AB38" s="29"/>
      <c r="AC38" s="29"/>
      <c r="AD38" s="29"/>
      <c r="AE38" s="28"/>
      <c r="AF38" s="28"/>
      <c r="AG38" s="30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20"/>
      <c r="BV38" s="20"/>
      <c r="BW38" s="31"/>
      <c r="BX38" s="31"/>
      <c r="BY38" s="20"/>
      <c r="BZ38" s="20"/>
      <c r="CA38" s="31"/>
      <c r="CB38" s="31"/>
      <c r="CC38" s="20"/>
      <c r="CD38" s="20"/>
      <c r="CE38" s="31"/>
      <c r="CF38" s="32"/>
    </row>
    <row r="39" spans="1:84" ht="15.75" x14ac:dyDescent="0.25">
      <c r="A39" s="151" t="s">
        <v>10</v>
      </c>
      <c r="B39" s="150" t="s">
        <v>883</v>
      </c>
      <c r="C39" s="25"/>
      <c r="D39" s="26" t="s">
        <v>86</v>
      </c>
      <c r="E39" s="150"/>
      <c r="F39" s="16" t="s">
        <v>13</v>
      </c>
      <c r="G39" s="16" t="s">
        <v>13</v>
      </c>
      <c r="H39" s="17" t="s">
        <v>21</v>
      </c>
      <c r="I39" s="134">
        <v>0</v>
      </c>
      <c r="J39" s="17" t="s">
        <v>884</v>
      </c>
      <c r="K39" s="142">
        <v>46143</v>
      </c>
      <c r="L39" s="142">
        <v>46218</v>
      </c>
      <c r="M39" s="19"/>
      <c r="N39" s="20"/>
      <c r="O39" s="27"/>
      <c r="P39" s="27"/>
      <c r="Q39" s="27"/>
      <c r="R39" s="27"/>
      <c r="S39" s="27"/>
      <c r="T39" s="27"/>
      <c r="U39" s="27"/>
      <c r="V39" s="27"/>
      <c r="W39" s="33"/>
      <c r="X39" s="33"/>
      <c r="Y39" s="29"/>
      <c r="Z39" s="29"/>
      <c r="AA39" s="29"/>
      <c r="AB39" s="29"/>
      <c r="AC39" s="29"/>
      <c r="AD39" s="29"/>
      <c r="AE39" s="28"/>
      <c r="AF39" s="28"/>
      <c r="AG39" s="30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20"/>
      <c r="BV39" s="20"/>
      <c r="BW39" s="31"/>
      <c r="BX39" s="31"/>
      <c r="BY39" s="20"/>
      <c r="BZ39" s="20"/>
      <c r="CA39" s="31"/>
      <c r="CB39" s="31"/>
      <c r="CC39" s="20"/>
      <c r="CD39" s="20"/>
      <c r="CE39" s="31"/>
      <c r="CF39" s="32"/>
    </row>
    <row r="40" spans="1:84" ht="15.75" x14ac:dyDescent="0.25">
      <c r="A40" s="151" t="s">
        <v>10</v>
      </c>
      <c r="B40" s="150" t="s">
        <v>87</v>
      </c>
      <c r="C40" s="25"/>
      <c r="D40" s="15" t="s">
        <v>900</v>
      </c>
      <c r="E40" s="150"/>
      <c r="F40" s="16" t="s">
        <v>13</v>
      </c>
      <c r="G40" s="16" t="s">
        <v>13</v>
      </c>
      <c r="H40" s="16" t="s">
        <v>72</v>
      </c>
      <c r="I40" s="148">
        <f>AVERAGE(I41:I43)</f>
        <v>0.33333333333333331</v>
      </c>
      <c r="J40" s="17" t="s">
        <v>79</v>
      </c>
      <c r="K40" s="142">
        <v>46188</v>
      </c>
      <c r="L40" s="142">
        <v>46249</v>
      </c>
      <c r="M40" s="19"/>
      <c r="N40" s="20"/>
      <c r="O40" s="27"/>
      <c r="P40" s="27"/>
      <c r="Q40" s="27"/>
      <c r="R40" s="27"/>
      <c r="S40" s="27"/>
      <c r="T40" s="27"/>
      <c r="U40" s="27"/>
      <c r="V40" s="27"/>
      <c r="W40" s="33"/>
      <c r="X40" s="33"/>
      <c r="Y40" s="33"/>
      <c r="Z40" s="33"/>
      <c r="AA40" s="33"/>
      <c r="AB40" s="33"/>
      <c r="AC40" s="33"/>
      <c r="AD40" s="33"/>
      <c r="AE40" s="27"/>
      <c r="AF40" s="21"/>
      <c r="AG40" s="35"/>
      <c r="AH40" s="35"/>
      <c r="AI40" s="35"/>
      <c r="AJ40" s="35"/>
      <c r="AK40" s="35"/>
      <c r="AL40" s="35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20"/>
      <c r="BV40" s="20"/>
      <c r="BW40" s="31"/>
      <c r="BX40" s="31"/>
      <c r="BY40" s="20"/>
      <c r="BZ40" s="20"/>
      <c r="CA40" s="31"/>
      <c r="CB40" s="31"/>
      <c r="CC40" s="20"/>
      <c r="CD40" s="20"/>
      <c r="CE40" s="31"/>
      <c r="CF40" s="32"/>
    </row>
    <row r="41" spans="1:84" ht="27" x14ac:dyDescent="0.25">
      <c r="A41" s="151" t="s">
        <v>10</v>
      </c>
      <c r="B41" s="150" t="s">
        <v>88</v>
      </c>
      <c r="C41" s="25"/>
      <c r="D41" s="26" t="s">
        <v>886</v>
      </c>
      <c r="E41" s="150"/>
      <c r="F41" s="16" t="s">
        <v>13</v>
      </c>
      <c r="G41" s="16" t="s">
        <v>13</v>
      </c>
      <c r="H41" s="17" t="s">
        <v>17</v>
      </c>
      <c r="I41" s="134">
        <v>1</v>
      </c>
      <c r="J41" s="17" t="s">
        <v>878</v>
      </c>
      <c r="K41" s="142">
        <v>46188</v>
      </c>
      <c r="L41" s="142">
        <v>46209</v>
      </c>
      <c r="M41" s="19"/>
      <c r="N41" s="20"/>
      <c r="O41" s="27"/>
      <c r="P41" s="27"/>
      <c r="Q41" s="27"/>
      <c r="R41" s="27"/>
      <c r="S41" s="27"/>
      <c r="T41" s="27"/>
      <c r="U41" s="27"/>
      <c r="V41" s="27"/>
      <c r="W41" s="33"/>
      <c r="X41" s="33"/>
      <c r="Y41" s="33"/>
      <c r="Z41" s="33"/>
      <c r="AA41" s="33"/>
      <c r="AB41" s="33"/>
      <c r="AC41" s="33"/>
      <c r="AD41" s="33"/>
      <c r="AE41" s="27"/>
      <c r="AF41" s="28"/>
      <c r="AG41" s="30"/>
      <c r="AH41" s="30"/>
      <c r="AI41" s="30"/>
      <c r="AJ41" s="30"/>
      <c r="AK41" s="30"/>
      <c r="AL41" s="30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20"/>
      <c r="BV41" s="20"/>
      <c r="BW41" s="31"/>
      <c r="BX41" s="31"/>
      <c r="BY41" s="20"/>
      <c r="BZ41" s="20"/>
      <c r="CA41" s="31"/>
      <c r="CB41" s="31"/>
      <c r="CC41" s="20"/>
      <c r="CD41" s="20"/>
      <c r="CE41" s="31"/>
      <c r="CF41" s="32"/>
    </row>
    <row r="42" spans="1:84" ht="15.75" x14ac:dyDescent="0.25">
      <c r="A42" s="151" t="s">
        <v>10</v>
      </c>
      <c r="B42" s="150" t="s">
        <v>885</v>
      </c>
      <c r="C42" s="25"/>
      <c r="D42" s="26" t="s">
        <v>89</v>
      </c>
      <c r="E42" s="150"/>
      <c r="F42" s="16" t="s">
        <v>13</v>
      </c>
      <c r="G42" s="16" t="s">
        <v>13</v>
      </c>
      <c r="H42" s="17" t="s">
        <v>21</v>
      </c>
      <c r="I42" s="134">
        <v>0</v>
      </c>
      <c r="J42" s="17" t="s">
        <v>79</v>
      </c>
      <c r="K42" s="142">
        <v>46218</v>
      </c>
      <c r="L42" s="142">
        <v>46235</v>
      </c>
      <c r="M42" s="19"/>
      <c r="N42" s="20"/>
      <c r="O42" s="27"/>
      <c r="P42" s="27"/>
      <c r="Q42" s="27"/>
      <c r="R42" s="27"/>
      <c r="S42" s="27"/>
      <c r="T42" s="27"/>
      <c r="U42" s="27"/>
      <c r="V42" s="27"/>
      <c r="W42" s="33"/>
      <c r="X42" s="33"/>
      <c r="Y42" s="33"/>
      <c r="Z42" s="33"/>
      <c r="AA42" s="33"/>
      <c r="AB42" s="33"/>
      <c r="AC42" s="33"/>
      <c r="AD42" s="33"/>
      <c r="AE42" s="27"/>
      <c r="AF42" s="28"/>
      <c r="AG42" s="30"/>
      <c r="AH42" s="30"/>
      <c r="AI42" s="30"/>
      <c r="AJ42" s="30"/>
      <c r="AK42" s="30"/>
      <c r="AL42" s="30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20"/>
      <c r="BV42" s="20"/>
      <c r="BW42" s="31"/>
      <c r="BX42" s="31"/>
      <c r="BY42" s="20"/>
      <c r="BZ42" s="20"/>
      <c r="CA42" s="31"/>
      <c r="CB42" s="31"/>
      <c r="CC42" s="20"/>
      <c r="CD42" s="20"/>
      <c r="CE42" s="31"/>
      <c r="CF42" s="32"/>
    </row>
    <row r="43" spans="1:84" ht="15.75" x14ac:dyDescent="0.25">
      <c r="A43" s="151" t="s">
        <v>10</v>
      </c>
      <c r="B43" s="150" t="s">
        <v>901</v>
      </c>
      <c r="C43" s="25"/>
      <c r="D43" s="26" t="s">
        <v>902</v>
      </c>
      <c r="E43" s="150"/>
      <c r="F43" s="16" t="s">
        <v>13</v>
      </c>
      <c r="G43" s="16" t="s">
        <v>13</v>
      </c>
      <c r="H43" s="17" t="s">
        <v>21</v>
      </c>
      <c r="I43" s="134">
        <v>0</v>
      </c>
      <c r="J43" s="17" t="s">
        <v>79</v>
      </c>
      <c r="K43" s="142">
        <v>46235</v>
      </c>
      <c r="L43" s="142">
        <v>46249</v>
      </c>
      <c r="M43" s="19"/>
      <c r="N43" s="20"/>
      <c r="O43" s="27"/>
      <c r="P43" s="27"/>
      <c r="Q43" s="27"/>
      <c r="R43" s="27"/>
      <c r="S43" s="27"/>
      <c r="T43" s="27"/>
      <c r="U43" s="27"/>
      <c r="V43" s="27"/>
      <c r="W43" s="33"/>
      <c r="X43" s="33"/>
      <c r="Y43" s="33"/>
      <c r="Z43" s="33"/>
      <c r="AA43" s="33"/>
      <c r="AB43" s="33"/>
      <c r="AC43" s="33"/>
      <c r="AD43" s="33"/>
      <c r="AE43" s="27"/>
      <c r="AF43" s="28"/>
      <c r="AG43" s="30"/>
      <c r="AH43" s="30"/>
      <c r="AI43" s="30"/>
      <c r="AJ43" s="30"/>
      <c r="AK43" s="30"/>
      <c r="AL43" s="30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20"/>
      <c r="BV43" s="20"/>
      <c r="BW43" s="31"/>
      <c r="BX43" s="31"/>
      <c r="BY43" s="20"/>
      <c r="BZ43" s="20"/>
      <c r="CA43" s="31"/>
      <c r="CB43" s="31"/>
      <c r="CC43" s="20"/>
      <c r="CD43" s="20"/>
      <c r="CE43" s="31"/>
      <c r="CF43" s="32"/>
    </row>
    <row r="44" spans="1:84" ht="15.75" x14ac:dyDescent="0.25">
      <c r="A44" s="151" t="s">
        <v>10</v>
      </c>
      <c r="B44" s="150" t="s">
        <v>90</v>
      </c>
      <c r="C44" s="25"/>
      <c r="D44" s="15" t="s">
        <v>911</v>
      </c>
      <c r="E44" s="150"/>
      <c r="F44" s="16" t="s">
        <v>13</v>
      </c>
      <c r="G44" s="16" t="s">
        <v>13</v>
      </c>
      <c r="H44" s="16" t="s">
        <v>72</v>
      </c>
      <c r="I44" s="148">
        <f>AVERAGE(I45,I51,I52,I53,I54,I55)</f>
        <v>0.10666666666666667</v>
      </c>
      <c r="J44" s="17" t="s">
        <v>79</v>
      </c>
      <c r="K44" s="142">
        <v>46204</v>
      </c>
      <c r="L44" s="142">
        <v>46261</v>
      </c>
      <c r="M44" s="19"/>
      <c r="N44" s="20"/>
      <c r="O44" s="27"/>
      <c r="P44" s="27"/>
      <c r="Q44" s="27"/>
      <c r="R44" s="27"/>
      <c r="S44" s="27"/>
      <c r="T44" s="27"/>
      <c r="U44" s="27"/>
      <c r="V44" s="27"/>
      <c r="W44" s="33"/>
      <c r="X44" s="33"/>
      <c r="Y44" s="33"/>
      <c r="Z44" s="33"/>
      <c r="AA44" s="33"/>
      <c r="AB44" s="33"/>
      <c r="AC44" s="33"/>
      <c r="AD44" s="33"/>
      <c r="AE44" s="21"/>
      <c r="AF44" s="21"/>
      <c r="AG44" s="35"/>
      <c r="AH44" s="35"/>
      <c r="AI44" s="35"/>
      <c r="AJ44" s="35"/>
      <c r="AK44" s="35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20"/>
      <c r="BV44" s="20"/>
      <c r="BW44" s="31"/>
      <c r="BX44" s="31"/>
      <c r="BY44" s="20"/>
      <c r="BZ44" s="20"/>
      <c r="CA44" s="31"/>
      <c r="CB44" s="31"/>
      <c r="CC44" s="20"/>
      <c r="CD44" s="20"/>
      <c r="CE44" s="31"/>
      <c r="CF44" s="32"/>
    </row>
    <row r="45" spans="1:84" ht="15.75" x14ac:dyDescent="0.25">
      <c r="A45" s="151" t="s">
        <v>10</v>
      </c>
      <c r="B45" s="150" t="s">
        <v>91</v>
      </c>
      <c r="C45" s="25"/>
      <c r="D45" s="26" t="s">
        <v>930</v>
      </c>
      <c r="E45" s="175"/>
      <c r="F45" s="16" t="s">
        <v>13</v>
      </c>
      <c r="G45" s="16" t="s">
        <v>13</v>
      </c>
      <c r="H45" s="17" t="s">
        <v>72</v>
      </c>
      <c r="I45" s="134">
        <f>AVERAGE(I46:I50)</f>
        <v>0.13999999999999999</v>
      </c>
      <c r="J45" s="17" t="s">
        <v>79</v>
      </c>
      <c r="K45" s="142">
        <v>46219</v>
      </c>
      <c r="L45" s="142">
        <v>46227</v>
      </c>
      <c r="M45" s="19"/>
      <c r="N45" s="20"/>
      <c r="O45" s="27"/>
      <c r="P45" s="27"/>
      <c r="Q45" s="27"/>
      <c r="R45" s="27"/>
      <c r="S45" s="27"/>
      <c r="T45" s="27"/>
      <c r="U45" s="27"/>
      <c r="V45" s="27"/>
      <c r="W45" s="33"/>
      <c r="X45" s="33"/>
      <c r="Y45" s="33"/>
      <c r="Z45" s="33"/>
      <c r="AA45" s="33"/>
      <c r="AB45" s="33"/>
      <c r="AC45" s="33"/>
      <c r="AD45" s="33"/>
      <c r="AE45" s="28"/>
      <c r="AF45" s="28"/>
      <c r="AG45" s="30"/>
      <c r="AH45" s="30"/>
      <c r="AI45" s="30"/>
      <c r="AJ45" s="30"/>
      <c r="AK45" s="30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20"/>
      <c r="BV45" s="20"/>
      <c r="BW45" s="31"/>
      <c r="BX45" s="31"/>
      <c r="BY45" s="20"/>
      <c r="BZ45" s="20"/>
      <c r="CA45" s="31"/>
      <c r="CB45" s="31"/>
      <c r="CC45" s="20"/>
      <c r="CD45" s="20"/>
      <c r="CE45" s="31"/>
      <c r="CF45" s="32"/>
    </row>
    <row r="46" spans="1:84" ht="15.75" x14ac:dyDescent="0.25">
      <c r="A46" s="151" t="s">
        <v>10</v>
      </c>
      <c r="B46" s="150" t="s">
        <v>920</v>
      </c>
      <c r="C46" s="25"/>
      <c r="D46" s="72" t="s">
        <v>929</v>
      </c>
      <c r="E46" s="175"/>
      <c r="F46" s="16" t="s">
        <v>13</v>
      </c>
      <c r="G46" s="16" t="s">
        <v>13</v>
      </c>
      <c r="H46" s="17" t="s">
        <v>72</v>
      </c>
      <c r="I46" s="134">
        <v>0.7</v>
      </c>
      <c r="J46" s="17" t="s">
        <v>14</v>
      </c>
      <c r="K46" s="142">
        <v>46224</v>
      </c>
      <c r="L46" s="142">
        <v>46225</v>
      </c>
      <c r="M46" s="19"/>
      <c r="N46" s="20"/>
      <c r="O46" s="27"/>
      <c r="P46" s="27"/>
      <c r="Q46" s="27"/>
      <c r="R46" s="27"/>
      <c r="S46" s="27"/>
      <c r="T46" s="27"/>
      <c r="U46" s="27"/>
      <c r="V46" s="27"/>
      <c r="W46" s="33"/>
      <c r="X46" s="33"/>
      <c r="Y46" s="33"/>
      <c r="Z46" s="33"/>
      <c r="AA46" s="33"/>
      <c r="AB46" s="33"/>
      <c r="AC46" s="33"/>
      <c r="AD46" s="33"/>
      <c r="AE46" s="28"/>
      <c r="AF46" s="28"/>
      <c r="AG46" s="30"/>
      <c r="AH46" s="30"/>
      <c r="AI46" s="30"/>
      <c r="AJ46" s="30"/>
      <c r="AK46" s="30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20"/>
      <c r="BV46" s="20"/>
      <c r="BW46" s="31"/>
      <c r="BX46" s="31"/>
      <c r="BY46" s="20"/>
      <c r="BZ46" s="20"/>
      <c r="CA46" s="31"/>
      <c r="CB46" s="31"/>
      <c r="CC46" s="20"/>
      <c r="CD46" s="20"/>
      <c r="CE46" s="31"/>
      <c r="CF46" s="32"/>
    </row>
    <row r="47" spans="1:84" ht="15.75" x14ac:dyDescent="0.25">
      <c r="A47" s="151" t="s">
        <v>10</v>
      </c>
      <c r="B47" s="150" t="s">
        <v>921</v>
      </c>
      <c r="C47" s="25"/>
      <c r="D47" s="72" t="s">
        <v>914</v>
      </c>
      <c r="E47" s="175"/>
      <c r="F47" s="16" t="s">
        <v>13</v>
      </c>
      <c r="G47" s="16" t="s">
        <v>13</v>
      </c>
      <c r="H47" s="17" t="s">
        <v>84</v>
      </c>
      <c r="I47" s="134">
        <v>0</v>
      </c>
      <c r="J47" s="17" t="s">
        <v>14</v>
      </c>
      <c r="K47" s="142">
        <v>46224</v>
      </c>
      <c r="L47" s="142">
        <v>46224</v>
      </c>
      <c r="M47" s="19"/>
      <c r="N47" s="20"/>
      <c r="O47" s="27"/>
      <c r="P47" s="27"/>
      <c r="Q47" s="27"/>
      <c r="R47" s="27"/>
      <c r="S47" s="27"/>
      <c r="T47" s="27"/>
      <c r="U47" s="27"/>
      <c r="V47" s="27"/>
      <c r="W47" s="33"/>
      <c r="X47" s="33"/>
      <c r="Y47" s="33"/>
      <c r="Z47" s="33"/>
      <c r="AA47" s="33"/>
      <c r="AB47" s="33"/>
      <c r="AC47" s="33"/>
      <c r="AD47" s="33"/>
      <c r="AE47" s="28"/>
      <c r="AF47" s="28"/>
      <c r="AG47" s="30"/>
      <c r="AH47" s="30"/>
      <c r="AI47" s="30"/>
      <c r="AJ47" s="30"/>
      <c r="AK47" s="30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20"/>
      <c r="BV47" s="20"/>
      <c r="BW47" s="31"/>
      <c r="BX47" s="31"/>
      <c r="BY47" s="20"/>
      <c r="BZ47" s="20"/>
      <c r="CA47" s="31"/>
      <c r="CB47" s="31"/>
      <c r="CC47" s="20"/>
      <c r="CD47" s="20"/>
      <c r="CE47" s="31"/>
      <c r="CF47" s="32"/>
    </row>
    <row r="48" spans="1:84" ht="15.75" x14ac:dyDescent="0.25">
      <c r="A48" s="151" t="s">
        <v>10</v>
      </c>
      <c r="B48" s="150" t="s">
        <v>922</v>
      </c>
      <c r="C48" s="25"/>
      <c r="D48" s="72" t="s">
        <v>915</v>
      </c>
      <c r="E48" s="175"/>
      <c r="F48" s="16" t="s">
        <v>13</v>
      </c>
      <c r="G48" s="16" t="s">
        <v>13</v>
      </c>
      <c r="H48" s="17" t="s">
        <v>84</v>
      </c>
      <c r="I48" s="134">
        <v>0</v>
      </c>
      <c r="J48" s="17" t="s">
        <v>14</v>
      </c>
      <c r="K48" s="142">
        <v>46224</v>
      </c>
      <c r="L48" s="142">
        <v>46227</v>
      </c>
      <c r="M48" s="19"/>
      <c r="N48" s="20"/>
      <c r="O48" s="27"/>
      <c r="P48" s="27"/>
      <c r="Q48" s="27"/>
      <c r="R48" s="27"/>
      <c r="S48" s="27"/>
      <c r="T48" s="27"/>
      <c r="U48" s="27"/>
      <c r="V48" s="27"/>
      <c r="W48" s="33"/>
      <c r="X48" s="33"/>
      <c r="Y48" s="33"/>
      <c r="Z48" s="33"/>
      <c r="AA48" s="33"/>
      <c r="AB48" s="33"/>
      <c r="AC48" s="33"/>
      <c r="AD48" s="33"/>
      <c r="AE48" s="28"/>
      <c r="AF48" s="28"/>
      <c r="AG48" s="30"/>
      <c r="AH48" s="30"/>
      <c r="AI48" s="30"/>
      <c r="AJ48" s="30"/>
      <c r="AK48" s="30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20"/>
      <c r="BV48" s="20"/>
      <c r="BW48" s="31"/>
      <c r="BX48" s="31"/>
      <c r="BY48" s="20"/>
      <c r="BZ48" s="20"/>
      <c r="CA48" s="31"/>
      <c r="CB48" s="31"/>
      <c r="CC48" s="20"/>
      <c r="CD48" s="20"/>
      <c r="CE48" s="31"/>
      <c r="CF48" s="32"/>
    </row>
    <row r="49" spans="1:84" ht="15.75" x14ac:dyDescent="0.25">
      <c r="A49" s="151" t="s">
        <v>10</v>
      </c>
      <c r="B49" s="150" t="s">
        <v>923</v>
      </c>
      <c r="C49" s="25"/>
      <c r="D49" s="72" t="s">
        <v>916</v>
      </c>
      <c r="E49" s="175"/>
      <c r="F49" s="16" t="s">
        <v>13</v>
      </c>
      <c r="G49" s="16" t="s">
        <v>13</v>
      </c>
      <c r="H49" s="17" t="s">
        <v>84</v>
      </c>
      <c r="I49" s="134">
        <v>0</v>
      </c>
      <c r="J49" s="17" t="s">
        <v>14</v>
      </c>
      <c r="K49" s="142">
        <v>46227</v>
      </c>
      <c r="L49" s="142">
        <v>46230</v>
      </c>
      <c r="M49" s="19"/>
      <c r="N49" s="20"/>
      <c r="O49" s="27"/>
      <c r="P49" s="27"/>
      <c r="Q49" s="27"/>
      <c r="R49" s="27"/>
      <c r="S49" s="27"/>
      <c r="T49" s="27"/>
      <c r="U49" s="27"/>
      <c r="V49" s="27"/>
      <c r="W49" s="33"/>
      <c r="X49" s="33"/>
      <c r="Y49" s="33"/>
      <c r="Z49" s="33"/>
      <c r="AA49" s="33"/>
      <c r="AB49" s="33"/>
      <c r="AC49" s="33"/>
      <c r="AD49" s="33"/>
      <c r="AE49" s="28"/>
      <c r="AF49" s="28"/>
      <c r="AG49" s="30"/>
      <c r="AH49" s="30"/>
      <c r="AI49" s="30"/>
      <c r="AJ49" s="30"/>
      <c r="AK49" s="30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20"/>
      <c r="BV49" s="20"/>
      <c r="BW49" s="31"/>
      <c r="BX49" s="31"/>
      <c r="BY49" s="20"/>
      <c r="BZ49" s="20"/>
      <c r="CA49" s="31"/>
      <c r="CB49" s="31"/>
      <c r="CC49" s="20"/>
      <c r="CD49" s="20"/>
      <c r="CE49" s="31"/>
      <c r="CF49" s="32"/>
    </row>
    <row r="50" spans="1:84" ht="15.75" x14ac:dyDescent="0.25">
      <c r="A50" s="151" t="s">
        <v>10</v>
      </c>
      <c r="B50" s="150" t="s">
        <v>931</v>
      </c>
      <c r="C50" s="25"/>
      <c r="D50" s="72" t="s">
        <v>917</v>
      </c>
      <c r="E50" s="175"/>
      <c r="F50" s="16" t="s">
        <v>13</v>
      </c>
      <c r="G50" s="16" t="s">
        <v>13</v>
      </c>
      <c r="H50" s="17" t="s">
        <v>84</v>
      </c>
      <c r="I50" s="134">
        <v>0</v>
      </c>
      <c r="J50" s="17" t="s">
        <v>14</v>
      </c>
      <c r="K50" s="142">
        <v>46233</v>
      </c>
      <c r="L50" s="142">
        <v>46238</v>
      </c>
      <c r="M50" s="19"/>
      <c r="N50" s="20"/>
      <c r="O50" s="27"/>
      <c r="P50" s="27"/>
      <c r="Q50" s="27"/>
      <c r="R50" s="27"/>
      <c r="S50" s="27"/>
      <c r="T50" s="27"/>
      <c r="U50" s="27"/>
      <c r="V50" s="27"/>
      <c r="W50" s="33"/>
      <c r="X50" s="33"/>
      <c r="Y50" s="33"/>
      <c r="Z50" s="33"/>
      <c r="AA50" s="33"/>
      <c r="AB50" s="33"/>
      <c r="AC50" s="33"/>
      <c r="AD50" s="33"/>
      <c r="AE50" s="28"/>
      <c r="AF50" s="28"/>
      <c r="AG50" s="30"/>
      <c r="AH50" s="30"/>
      <c r="AI50" s="30"/>
      <c r="AJ50" s="30"/>
      <c r="AK50" s="30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20"/>
      <c r="BV50" s="20"/>
      <c r="BW50" s="31"/>
      <c r="BX50" s="31"/>
      <c r="BY50" s="20"/>
      <c r="BZ50" s="20"/>
      <c r="CA50" s="31"/>
      <c r="CB50" s="31"/>
      <c r="CC50" s="20"/>
      <c r="CD50" s="20"/>
      <c r="CE50" s="31"/>
      <c r="CF50" s="32"/>
    </row>
    <row r="51" spans="1:84" ht="27" x14ac:dyDescent="0.25">
      <c r="A51" s="151" t="s">
        <v>10</v>
      </c>
      <c r="B51" s="150" t="s">
        <v>924</v>
      </c>
      <c r="C51" s="25"/>
      <c r="D51" s="26" t="s">
        <v>912</v>
      </c>
      <c r="E51" s="175"/>
      <c r="F51" s="16" t="s">
        <v>13</v>
      </c>
      <c r="G51" s="16" t="s">
        <v>13</v>
      </c>
      <c r="H51" s="17" t="s">
        <v>84</v>
      </c>
      <c r="I51" s="134">
        <v>0</v>
      </c>
      <c r="J51" s="17" t="s">
        <v>878</v>
      </c>
      <c r="K51" s="142">
        <v>46224</v>
      </c>
      <c r="L51" s="142">
        <v>46234</v>
      </c>
      <c r="M51" s="19"/>
      <c r="N51" s="20"/>
      <c r="O51" s="27"/>
      <c r="P51" s="27"/>
      <c r="Q51" s="27"/>
      <c r="R51" s="27"/>
      <c r="S51" s="27"/>
      <c r="T51" s="27"/>
      <c r="U51" s="27"/>
      <c r="V51" s="27"/>
      <c r="W51" s="33"/>
      <c r="X51" s="33"/>
      <c r="Y51" s="33"/>
      <c r="Z51" s="33"/>
      <c r="AA51" s="33"/>
      <c r="AB51" s="33"/>
      <c r="AC51" s="33"/>
      <c r="AD51" s="33"/>
      <c r="AE51" s="28"/>
      <c r="AF51" s="28"/>
      <c r="AG51" s="30"/>
      <c r="AH51" s="30"/>
      <c r="AI51" s="30"/>
      <c r="AJ51" s="30"/>
      <c r="AK51" s="30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20"/>
      <c r="BV51" s="20"/>
      <c r="BW51" s="31"/>
      <c r="BX51" s="31"/>
      <c r="BY51" s="20"/>
      <c r="BZ51" s="20"/>
      <c r="CA51" s="31"/>
      <c r="CB51" s="31"/>
      <c r="CC51" s="20"/>
      <c r="CD51" s="20"/>
      <c r="CE51" s="31"/>
      <c r="CF51" s="32"/>
    </row>
    <row r="52" spans="1:84" ht="15.75" x14ac:dyDescent="0.25">
      <c r="A52" s="151" t="s">
        <v>10</v>
      </c>
      <c r="B52" s="150" t="s">
        <v>925</v>
      </c>
      <c r="C52" s="25"/>
      <c r="D52" s="26" t="s">
        <v>913</v>
      </c>
      <c r="E52" s="175" t="s">
        <v>988</v>
      </c>
      <c r="F52" s="16" t="s">
        <v>13</v>
      </c>
      <c r="G52" s="16" t="s">
        <v>13</v>
      </c>
      <c r="H52" s="134" t="s">
        <v>72</v>
      </c>
      <c r="I52" s="134">
        <v>0.5</v>
      </c>
      <c r="J52" s="17" t="s">
        <v>95</v>
      </c>
      <c r="K52" s="142">
        <v>46224</v>
      </c>
      <c r="L52" s="142">
        <v>46234</v>
      </c>
      <c r="M52" s="19"/>
      <c r="N52" s="20"/>
      <c r="O52" s="27"/>
      <c r="P52" s="27"/>
      <c r="Q52" s="27"/>
      <c r="R52" s="27"/>
      <c r="S52" s="27"/>
      <c r="T52" s="27"/>
      <c r="U52" s="27"/>
      <c r="V52" s="27"/>
      <c r="W52" s="33"/>
      <c r="X52" s="33"/>
      <c r="Y52" s="33"/>
      <c r="Z52" s="33"/>
      <c r="AA52" s="33"/>
      <c r="AB52" s="33"/>
      <c r="AC52" s="33"/>
      <c r="AD52" s="33"/>
      <c r="AE52" s="28"/>
      <c r="AF52" s="28"/>
      <c r="AG52" s="30"/>
      <c r="AH52" s="30"/>
      <c r="AI52" s="30"/>
      <c r="AJ52" s="30"/>
      <c r="AK52" s="30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20"/>
      <c r="BV52" s="20"/>
      <c r="BW52" s="31"/>
      <c r="BX52" s="31"/>
      <c r="BY52" s="20"/>
      <c r="BZ52" s="20"/>
      <c r="CA52" s="31"/>
      <c r="CB52" s="31"/>
      <c r="CC52" s="20"/>
      <c r="CD52" s="20"/>
      <c r="CE52" s="31"/>
      <c r="CF52" s="32"/>
    </row>
    <row r="53" spans="1:84" ht="27" x14ac:dyDescent="0.25">
      <c r="A53" s="151" t="s">
        <v>10</v>
      </c>
      <c r="B53" s="150" t="s">
        <v>926</v>
      </c>
      <c r="C53" s="25"/>
      <c r="D53" s="176" t="s">
        <v>918</v>
      </c>
      <c r="E53" s="175"/>
      <c r="F53" s="16" t="s">
        <v>13</v>
      </c>
      <c r="G53" s="16" t="s">
        <v>13</v>
      </c>
      <c r="H53" s="17" t="s">
        <v>84</v>
      </c>
      <c r="I53" s="134">
        <v>0</v>
      </c>
      <c r="J53" s="17" t="s">
        <v>14</v>
      </c>
      <c r="K53" s="142">
        <v>46239</v>
      </c>
      <c r="L53" s="142">
        <v>46239</v>
      </c>
      <c r="M53" s="19"/>
      <c r="N53" s="20"/>
      <c r="O53" s="27"/>
      <c r="P53" s="27"/>
      <c r="Q53" s="27"/>
      <c r="R53" s="27"/>
      <c r="S53" s="27"/>
      <c r="T53" s="27"/>
      <c r="U53" s="27"/>
      <c r="V53" s="27"/>
      <c r="W53" s="33"/>
      <c r="X53" s="33"/>
      <c r="Y53" s="33"/>
      <c r="Z53" s="33"/>
      <c r="AA53" s="33"/>
      <c r="AB53" s="33"/>
      <c r="AC53" s="33"/>
      <c r="AD53" s="33"/>
      <c r="AE53" s="28"/>
      <c r="AF53" s="28"/>
      <c r="AG53" s="30"/>
      <c r="AH53" s="30"/>
      <c r="AI53" s="30"/>
      <c r="AJ53" s="30"/>
      <c r="AK53" s="30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20"/>
      <c r="BV53" s="20"/>
      <c r="BW53" s="31"/>
      <c r="BX53" s="31"/>
      <c r="BY53" s="20"/>
      <c r="BZ53" s="20"/>
      <c r="CA53" s="31"/>
      <c r="CB53" s="31"/>
      <c r="CC53" s="20"/>
      <c r="CD53" s="20"/>
      <c r="CE53" s="31"/>
      <c r="CF53" s="32"/>
    </row>
    <row r="54" spans="1:84" ht="15.75" x14ac:dyDescent="0.25">
      <c r="A54" s="151" t="s">
        <v>10</v>
      </c>
      <c r="B54" s="150" t="s">
        <v>927</v>
      </c>
      <c r="C54" s="25"/>
      <c r="D54" s="26" t="s">
        <v>919</v>
      </c>
      <c r="E54" s="175"/>
      <c r="F54" s="16" t="s">
        <v>13</v>
      </c>
      <c r="G54" s="16" t="s">
        <v>13</v>
      </c>
      <c r="H54" s="17" t="s">
        <v>84</v>
      </c>
      <c r="I54" s="134">
        <v>0</v>
      </c>
      <c r="J54" s="17" t="s">
        <v>14</v>
      </c>
      <c r="K54" s="142">
        <v>46240</v>
      </c>
      <c r="L54" s="142">
        <v>46246</v>
      </c>
      <c r="M54" s="19"/>
      <c r="N54" s="20"/>
      <c r="O54" s="27"/>
      <c r="P54" s="27"/>
      <c r="Q54" s="27"/>
      <c r="R54" s="27"/>
      <c r="S54" s="27"/>
      <c r="T54" s="27"/>
      <c r="U54" s="27"/>
      <c r="V54" s="27"/>
      <c r="W54" s="33"/>
      <c r="X54" s="33"/>
      <c r="Y54" s="33"/>
      <c r="Z54" s="33"/>
      <c r="AA54" s="33"/>
      <c r="AB54" s="33"/>
      <c r="AC54" s="33"/>
      <c r="AD54" s="33"/>
      <c r="AE54" s="28"/>
      <c r="AF54" s="28"/>
      <c r="AG54" s="30"/>
      <c r="AH54" s="30"/>
      <c r="AI54" s="30"/>
      <c r="AJ54" s="30"/>
      <c r="AK54" s="30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20"/>
      <c r="BV54" s="20"/>
      <c r="BW54" s="31"/>
      <c r="BX54" s="31"/>
      <c r="BY54" s="20"/>
      <c r="BZ54" s="20"/>
      <c r="CA54" s="31"/>
      <c r="CB54" s="31"/>
      <c r="CC54" s="20"/>
      <c r="CD54" s="20"/>
      <c r="CE54" s="31"/>
      <c r="CF54" s="32"/>
    </row>
    <row r="55" spans="1:84" ht="15.75" x14ac:dyDescent="0.25">
      <c r="A55" s="151" t="s">
        <v>10</v>
      </c>
      <c r="B55" s="150" t="s">
        <v>928</v>
      </c>
      <c r="C55" s="25"/>
      <c r="D55" s="26" t="s">
        <v>911</v>
      </c>
      <c r="E55" s="175"/>
      <c r="F55" s="16" t="s">
        <v>13</v>
      </c>
      <c r="G55" s="16" t="s">
        <v>13</v>
      </c>
      <c r="H55" s="17" t="s">
        <v>84</v>
      </c>
      <c r="I55" s="134">
        <v>0</v>
      </c>
      <c r="J55" s="17" t="s">
        <v>14</v>
      </c>
      <c r="K55" s="142">
        <v>46247</v>
      </c>
      <c r="L55" s="142">
        <v>46261</v>
      </c>
      <c r="M55" s="19"/>
      <c r="N55" s="20"/>
      <c r="O55" s="27"/>
      <c r="P55" s="27"/>
      <c r="Q55" s="27"/>
      <c r="R55" s="27"/>
      <c r="S55" s="27"/>
      <c r="T55" s="27"/>
      <c r="U55" s="27"/>
      <c r="V55" s="27"/>
      <c r="W55" s="33"/>
      <c r="X55" s="33"/>
      <c r="Y55" s="33"/>
      <c r="Z55" s="33"/>
      <c r="AA55" s="33"/>
      <c r="AB55" s="33"/>
      <c r="AC55" s="33"/>
      <c r="AD55" s="33"/>
      <c r="AE55" s="28"/>
      <c r="AF55" s="28"/>
      <c r="AG55" s="30"/>
      <c r="AH55" s="30"/>
      <c r="AI55" s="30"/>
      <c r="AJ55" s="30"/>
      <c r="AK55" s="30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20"/>
      <c r="BV55" s="20"/>
      <c r="BW55" s="31"/>
      <c r="BX55" s="31"/>
      <c r="BY55" s="20"/>
      <c r="BZ55" s="20"/>
      <c r="CA55" s="31"/>
      <c r="CB55" s="31"/>
      <c r="CC55" s="20"/>
      <c r="CD55" s="20"/>
      <c r="CE55" s="31"/>
      <c r="CF55" s="32"/>
    </row>
    <row r="56" spans="1:84" x14ac:dyDescent="0.25">
      <c r="A56" s="143" t="s">
        <v>92</v>
      </c>
      <c r="B56" s="144" t="s">
        <v>93</v>
      </c>
      <c r="C56" s="36"/>
      <c r="D56" s="37" t="s">
        <v>94</v>
      </c>
      <c r="E56" s="13"/>
      <c r="F56" s="139" t="s">
        <v>13</v>
      </c>
      <c r="G56" s="139" t="s">
        <v>13</v>
      </c>
      <c r="H56" s="139" t="str">
        <f>IF(COUNTIF(H57:H88,"Finalizado")=ROWS(H57:H88),"Finalizado",IF(COUNTIF(H57:H88,"Pendiente")=ROWS(H57:H88),"No iniciado","En proceso"))</f>
        <v>En proceso</v>
      </c>
      <c r="I56" s="158">
        <f>AVERAGE(I57,I67,I78)</f>
        <v>0.64166666666666672</v>
      </c>
      <c r="J56" s="139" t="s">
        <v>95</v>
      </c>
      <c r="K56" s="153">
        <v>46068</v>
      </c>
      <c r="L56" s="153">
        <v>46265</v>
      </c>
      <c r="M56" s="161"/>
      <c r="N56" s="162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74"/>
      <c r="Z56" s="174"/>
      <c r="AA56" s="174"/>
      <c r="AB56" s="174"/>
      <c r="AC56" s="174"/>
      <c r="AD56" s="174"/>
      <c r="AE56" s="174"/>
      <c r="AF56" s="156"/>
      <c r="AG56" s="156"/>
      <c r="AH56" s="156"/>
      <c r="AI56" s="156"/>
      <c r="AJ56" s="156"/>
      <c r="AK56" s="156"/>
      <c r="AL56" s="156"/>
      <c r="AM56" s="156"/>
      <c r="AN56" s="156"/>
      <c r="AO56" s="155"/>
      <c r="AP56" s="155"/>
      <c r="AQ56" s="155"/>
      <c r="AR56" s="155"/>
      <c r="AS56" s="155"/>
      <c r="AT56" s="155"/>
      <c r="AU56" s="155"/>
      <c r="AV56" s="155"/>
      <c r="AW56" s="155"/>
      <c r="AX56" s="155"/>
      <c r="AY56" s="155"/>
      <c r="AZ56" s="155"/>
      <c r="BA56" s="155"/>
      <c r="BB56" s="155"/>
      <c r="BC56" s="155"/>
      <c r="BD56" s="155"/>
      <c r="BE56" s="155"/>
      <c r="BF56" s="155"/>
      <c r="BG56" s="155"/>
      <c r="BH56" s="155"/>
      <c r="BI56" s="155"/>
      <c r="BJ56" s="155"/>
      <c r="BK56" s="155"/>
      <c r="BL56" s="155"/>
      <c r="BM56" s="155"/>
      <c r="BN56" s="155"/>
      <c r="BO56" s="155"/>
      <c r="BP56" s="155"/>
      <c r="BQ56" s="155"/>
      <c r="BR56" s="155"/>
      <c r="BS56" s="155"/>
      <c r="BT56" s="155"/>
      <c r="BU56" s="162"/>
      <c r="BV56" s="162"/>
      <c r="BW56" s="155"/>
      <c r="BX56" s="155"/>
      <c r="BY56" s="162"/>
      <c r="BZ56" s="162"/>
      <c r="CA56" s="155"/>
      <c r="CB56" s="155"/>
      <c r="CC56" s="162"/>
      <c r="CD56" s="162"/>
      <c r="CE56" s="155"/>
      <c r="CF56" s="157"/>
    </row>
    <row r="57" spans="1:84" ht="15.75" x14ac:dyDescent="0.25">
      <c r="A57" s="149" t="s">
        <v>92</v>
      </c>
      <c r="B57" s="150" t="s">
        <v>96</v>
      </c>
      <c r="C57" s="25"/>
      <c r="D57" s="15" t="s">
        <v>97</v>
      </c>
      <c r="E57" s="150"/>
      <c r="F57" s="16" t="s">
        <v>13</v>
      </c>
      <c r="G57" s="16" t="s">
        <v>13</v>
      </c>
      <c r="H57" s="16" t="s">
        <v>17</v>
      </c>
      <c r="I57" s="148">
        <f>AVERAGE(I58:I66)</f>
        <v>1</v>
      </c>
      <c r="J57" s="17" t="s">
        <v>95</v>
      </c>
      <c r="K57" s="142">
        <v>46127</v>
      </c>
      <c r="L57" s="142">
        <v>46203</v>
      </c>
      <c r="M57" s="19"/>
      <c r="N57" s="20"/>
      <c r="O57" s="31"/>
      <c r="P57" s="31"/>
      <c r="Q57" s="31"/>
      <c r="R57" s="31"/>
      <c r="S57" s="31"/>
      <c r="T57" s="31"/>
      <c r="U57" s="31"/>
      <c r="V57" s="31"/>
      <c r="W57" s="31"/>
      <c r="X57" s="35"/>
      <c r="Y57" s="38"/>
      <c r="Z57" s="38"/>
      <c r="AA57" s="38"/>
      <c r="AB57" s="38"/>
      <c r="AC57" s="38"/>
      <c r="AD57" s="38"/>
      <c r="AE57" s="38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20"/>
      <c r="BV57" s="20"/>
      <c r="BW57" s="31"/>
      <c r="BX57" s="31"/>
      <c r="BY57" s="20"/>
      <c r="BZ57" s="20"/>
      <c r="CA57" s="31"/>
      <c r="CB57" s="31"/>
      <c r="CC57" s="20"/>
      <c r="CD57" s="20"/>
      <c r="CE57" s="31"/>
      <c r="CF57" s="32"/>
    </row>
    <row r="58" spans="1:84" ht="15.75" x14ac:dyDescent="0.25">
      <c r="A58" s="149" t="s">
        <v>92</v>
      </c>
      <c r="B58" s="150" t="s">
        <v>98</v>
      </c>
      <c r="C58" s="25"/>
      <c r="D58" s="26" t="s">
        <v>99</v>
      </c>
      <c r="E58" s="150"/>
      <c r="F58" s="16" t="s">
        <v>13</v>
      </c>
      <c r="G58" s="16" t="s">
        <v>13</v>
      </c>
      <c r="H58" s="17" t="s">
        <v>17</v>
      </c>
      <c r="I58" s="134">
        <v>1</v>
      </c>
      <c r="J58" s="17" t="s">
        <v>95</v>
      </c>
      <c r="K58" s="142">
        <v>46127</v>
      </c>
      <c r="L58" s="142">
        <v>46203</v>
      </c>
      <c r="M58" s="19"/>
      <c r="N58" s="20"/>
      <c r="O58" s="33"/>
      <c r="P58" s="33"/>
      <c r="Q58" s="33"/>
      <c r="R58" s="33"/>
      <c r="S58" s="33"/>
      <c r="T58" s="33"/>
      <c r="U58" s="33"/>
      <c r="V58" s="33"/>
      <c r="W58" s="33"/>
      <c r="X58" s="29"/>
      <c r="Y58" s="29"/>
      <c r="Z58" s="29"/>
      <c r="AA58" s="29"/>
      <c r="AB58" s="29"/>
      <c r="AC58" s="39"/>
      <c r="AD58" s="39"/>
      <c r="AE58" s="39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20"/>
      <c r="BV58" s="20"/>
      <c r="BW58" s="31"/>
      <c r="BX58" s="31"/>
      <c r="BY58" s="20"/>
      <c r="BZ58" s="20"/>
      <c r="CA58" s="31"/>
      <c r="CB58" s="31"/>
      <c r="CC58" s="20"/>
      <c r="CD58" s="20"/>
      <c r="CE58" s="31"/>
      <c r="CF58" s="32"/>
    </row>
    <row r="59" spans="1:84" ht="15.75" x14ac:dyDescent="0.25">
      <c r="A59" s="149" t="s">
        <v>92</v>
      </c>
      <c r="B59" s="150" t="s">
        <v>100</v>
      </c>
      <c r="C59" s="25"/>
      <c r="D59" s="26" t="s">
        <v>101</v>
      </c>
      <c r="E59" s="150"/>
      <c r="F59" s="16" t="s">
        <v>13</v>
      </c>
      <c r="G59" s="16" t="s">
        <v>13</v>
      </c>
      <c r="H59" s="17" t="s">
        <v>17</v>
      </c>
      <c r="I59" s="134">
        <v>1</v>
      </c>
      <c r="J59" s="17" t="s">
        <v>95</v>
      </c>
      <c r="K59" s="142">
        <v>46127</v>
      </c>
      <c r="L59" s="142">
        <v>46203</v>
      </c>
      <c r="M59" s="19"/>
      <c r="N59" s="20"/>
      <c r="O59" s="31"/>
      <c r="P59" s="31"/>
      <c r="Q59" s="20"/>
      <c r="R59" s="20"/>
      <c r="S59" s="20"/>
      <c r="T59" s="20"/>
      <c r="U59" s="31"/>
      <c r="V59" s="31"/>
      <c r="W59" s="20"/>
      <c r="X59" s="30"/>
      <c r="Y59" s="39"/>
      <c r="Z59" s="30"/>
      <c r="AA59" s="39"/>
      <c r="AB59" s="30"/>
      <c r="AC59" s="39"/>
      <c r="AD59" s="39"/>
      <c r="AE59" s="39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20"/>
      <c r="BV59" s="20"/>
      <c r="BW59" s="31"/>
      <c r="BX59" s="31"/>
      <c r="BY59" s="20"/>
      <c r="BZ59" s="20"/>
      <c r="CA59" s="31"/>
      <c r="CB59" s="31"/>
      <c r="CC59" s="20"/>
      <c r="CD59" s="20"/>
      <c r="CE59" s="31"/>
      <c r="CF59" s="32"/>
    </row>
    <row r="60" spans="1:84" ht="15.75" x14ac:dyDescent="0.25">
      <c r="A60" s="149" t="s">
        <v>92</v>
      </c>
      <c r="B60" s="150" t="s">
        <v>102</v>
      </c>
      <c r="C60" s="25"/>
      <c r="D60" s="26" t="s">
        <v>103</v>
      </c>
      <c r="E60" s="150"/>
      <c r="F60" s="16" t="s">
        <v>13</v>
      </c>
      <c r="G60" s="16" t="s">
        <v>13</v>
      </c>
      <c r="H60" s="17" t="s">
        <v>17</v>
      </c>
      <c r="I60" s="134">
        <v>1</v>
      </c>
      <c r="J60" s="17" t="s">
        <v>95</v>
      </c>
      <c r="K60" s="142">
        <v>46127</v>
      </c>
      <c r="L60" s="142">
        <v>46157</v>
      </c>
      <c r="M60" s="19"/>
      <c r="N60" s="20"/>
      <c r="O60" s="31"/>
      <c r="P60" s="31"/>
      <c r="Q60" s="20"/>
      <c r="R60" s="20"/>
      <c r="S60" s="20"/>
      <c r="T60" s="20"/>
      <c r="U60" s="31"/>
      <c r="V60" s="31"/>
      <c r="W60" s="20"/>
      <c r="X60" s="30"/>
      <c r="Y60" s="39"/>
      <c r="Z60" s="30"/>
      <c r="AA60" s="20"/>
      <c r="AB60" s="31"/>
      <c r="AC60" s="20"/>
      <c r="AD60" s="20"/>
      <c r="AE60" s="20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20"/>
      <c r="BV60" s="20"/>
      <c r="BW60" s="31"/>
      <c r="BX60" s="31"/>
      <c r="BY60" s="20"/>
      <c r="BZ60" s="20"/>
      <c r="CA60" s="31"/>
      <c r="CB60" s="31"/>
      <c r="CC60" s="20"/>
      <c r="CD60" s="20"/>
      <c r="CE60" s="31"/>
      <c r="CF60" s="32"/>
    </row>
    <row r="61" spans="1:84" ht="15.75" x14ac:dyDescent="0.25">
      <c r="A61" s="149" t="s">
        <v>92</v>
      </c>
      <c r="B61" s="150" t="s">
        <v>104</v>
      </c>
      <c r="C61" s="25"/>
      <c r="D61" s="26" t="s">
        <v>105</v>
      </c>
      <c r="E61" s="150"/>
      <c r="F61" s="16" t="s">
        <v>13</v>
      </c>
      <c r="G61" s="16" t="s">
        <v>13</v>
      </c>
      <c r="H61" s="17" t="s">
        <v>17</v>
      </c>
      <c r="I61" s="134">
        <v>1</v>
      </c>
      <c r="J61" s="17" t="s">
        <v>95</v>
      </c>
      <c r="K61" s="142">
        <v>46127</v>
      </c>
      <c r="L61" s="142">
        <v>46203</v>
      </c>
      <c r="M61" s="19"/>
      <c r="N61" s="20"/>
      <c r="O61" s="31"/>
      <c r="P61" s="31"/>
      <c r="Q61" s="20"/>
      <c r="R61" s="20"/>
      <c r="S61" s="20"/>
      <c r="T61" s="20"/>
      <c r="U61" s="31"/>
      <c r="V61" s="31"/>
      <c r="W61" s="20"/>
      <c r="X61" s="30"/>
      <c r="Y61" s="39"/>
      <c r="Z61" s="30"/>
      <c r="AA61" s="39"/>
      <c r="AB61" s="30"/>
      <c r="AC61" s="39"/>
      <c r="AD61" s="39"/>
      <c r="AE61" s="39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20"/>
      <c r="BV61" s="20"/>
      <c r="BW61" s="31"/>
      <c r="BX61" s="31"/>
      <c r="BY61" s="20"/>
      <c r="BZ61" s="20"/>
      <c r="CA61" s="31"/>
      <c r="CB61" s="31"/>
      <c r="CC61" s="20"/>
      <c r="CD61" s="20"/>
      <c r="CE61" s="31"/>
      <c r="CF61" s="32"/>
    </row>
    <row r="62" spans="1:84" ht="15.75" x14ac:dyDescent="0.25">
      <c r="A62" s="149" t="s">
        <v>92</v>
      </c>
      <c r="B62" s="150" t="s">
        <v>106</v>
      </c>
      <c r="C62" s="25"/>
      <c r="D62" s="26" t="s">
        <v>107</v>
      </c>
      <c r="E62" s="150"/>
      <c r="F62" s="16" t="s">
        <v>13</v>
      </c>
      <c r="G62" s="16" t="s">
        <v>13</v>
      </c>
      <c r="H62" s="17" t="s">
        <v>17</v>
      </c>
      <c r="I62" s="134">
        <v>1</v>
      </c>
      <c r="J62" s="17" t="s">
        <v>95</v>
      </c>
      <c r="K62" s="142">
        <v>46127</v>
      </c>
      <c r="L62" s="142">
        <v>46157</v>
      </c>
      <c r="M62" s="19"/>
      <c r="N62" s="20"/>
      <c r="O62" s="31"/>
      <c r="P62" s="31"/>
      <c r="Q62" s="20"/>
      <c r="R62" s="20"/>
      <c r="S62" s="20"/>
      <c r="T62" s="20"/>
      <c r="U62" s="31"/>
      <c r="V62" s="31"/>
      <c r="W62" s="20"/>
      <c r="X62" s="30"/>
      <c r="Y62" s="39"/>
      <c r="Z62" s="30"/>
      <c r="AA62" s="20"/>
      <c r="AB62" s="31"/>
      <c r="AC62" s="20"/>
      <c r="AD62" s="20"/>
      <c r="AE62" s="20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20"/>
      <c r="BV62" s="20"/>
      <c r="BW62" s="31"/>
      <c r="BX62" s="31"/>
      <c r="BY62" s="20"/>
      <c r="BZ62" s="20"/>
      <c r="CA62" s="31"/>
      <c r="CB62" s="31"/>
      <c r="CC62" s="20"/>
      <c r="CD62" s="20"/>
      <c r="CE62" s="31"/>
      <c r="CF62" s="32"/>
    </row>
    <row r="63" spans="1:84" ht="15.75" x14ac:dyDescent="0.25">
      <c r="A63" s="149" t="s">
        <v>92</v>
      </c>
      <c r="B63" s="150" t="s">
        <v>108</v>
      </c>
      <c r="C63" s="25"/>
      <c r="D63" s="26" t="s">
        <v>109</v>
      </c>
      <c r="E63" s="150"/>
      <c r="F63" s="16" t="s">
        <v>13</v>
      </c>
      <c r="G63" s="16" t="s">
        <v>13</v>
      </c>
      <c r="H63" s="17" t="s">
        <v>17</v>
      </c>
      <c r="I63" s="134">
        <v>1</v>
      </c>
      <c r="J63" s="17" t="s">
        <v>95</v>
      </c>
      <c r="K63" s="142">
        <v>46143</v>
      </c>
      <c r="L63" s="142">
        <v>46203</v>
      </c>
      <c r="M63" s="19"/>
      <c r="N63" s="20"/>
      <c r="O63" s="31"/>
      <c r="P63" s="31"/>
      <c r="Q63" s="20"/>
      <c r="R63" s="20"/>
      <c r="S63" s="20"/>
      <c r="T63" s="20"/>
      <c r="U63" s="31"/>
      <c r="V63" s="31"/>
      <c r="W63" s="20"/>
      <c r="X63" s="31"/>
      <c r="Y63" s="20"/>
      <c r="Z63" s="30"/>
      <c r="AA63" s="39"/>
      <c r="AB63" s="30"/>
      <c r="AC63" s="39"/>
      <c r="AD63" s="39"/>
      <c r="AE63" s="39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20"/>
      <c r="BV63" s="20"/>
      <c r="BW63" s="31"/>
      <c r="BX63" s="31"/>
      <c r="BY63" s="20"/>
      <c r="BZ63" s="20"/>
      <c r="CA63" s="31"/>
      <c r="CB63" s="31"/>
      <c r="CC63" s="20"/>
      <c r="CD63" s="20"/>
      <c r="CE63" s="31"/>
      <c r="CF63" s="32"/>
    </row>
    <row r="64" spans="1:84" ht="15.75" x14ac:dyDescent="0.25">
      <c r="A64" s="149" t="s">
        <v>92</v>
      </c>
      <c r="B64" s="150" t="s">
        <v>110</v>
      </c>
      <c r="C64" s="25"/>
      <c r="D64" s="26" t="s">
        <v>111</v>
      </c>
      <c r="E64" s="150"/>
      <c r="F64" s="16" t="s">
        <v>13</v>
      </c>
      <c r="G64" s="16" t="s">
        <v>13</v>
      </c>
      <c r="H64" s="17" t="s">
        <v>17</v>
      </c>
      <c r="I64" s="134">
        <v>1</v>
      </c>
      <c r="J64" s="17" t="s">
        <v>95</v>
      </c>
      <c r="K64" s="142">
        <v>46174</v>
      </c>
      <c r="L64" s="142">
        <v>46203</v>
      </c>
      <c r="M64" s="19"/>
      <c r="N64" s="20"/>
      <c r="O64" s="31"/>
      <c r="P64" s="31"/>
      <c r="Q64" s="20"/>
      <c r="R64" s="20"/>
      <c r="S64" s="20"/>
      <c r="T64" s="20"/>
      <c r="U64" s="31"/>
      <c r="V64" s="31"/>
      <c r="W64" s="20"/>
      <c r="X64" s="31"/>
      <c r="Y64" s="20"/>
      <c r="Z64" s="31"/>
      <c r="AA64" s="20"/>
      <c r="AB64" s="31"/>
      <c r="AC64" s="39"/>
      <c r="AD64" s="39"/>
      <c r="AE64" s="39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20"/>
      <c r="BV64" s="20"/>
      <c r="BW64" s="31"/>
      <c r="BX64" s="31"/>
      <c r="BY64" s="20"/>
      <c r="BZ64" s="20"/>
      <c r="CA64" s="31"/>
      <c r="CB64" s="31"/>
      <c r="CC64" s="20"/>
      <c r="CD64" s="20"/>
      <c r="CE64" s="31"/>
      <c r="CF64" s="32"/>
    </row>
    <row r="65" spans="1:84" ht="15.75" x14ac:dyDescent="0.25">
      <c r="A65" s="149" t="s">
        <v>92</v>
      </c>
      <c r="B65" s="150" t="s">
        <v>112</v>
      </c>
      <c r="C65" s="25"/>
      <c r="D65" s="15" t="s">
        <v>113</v>
      </c>
      <c r="E65" s="150"/>
      <c r="F65" s="16" t="s">
        <v>114</v>
      </c>
      <c r="G65" s="16" t="s">
        <v>13</v>
      </c>
      <c r="H65" s="17" t="s">
        <v>17</v>
      </c>
      <c r="I65" s="134">
        <v>1</v>
      </c>
      <c r="J65" s="17" t="s">
        <v>14</v>
      </c>
      <c r="K65" s="142">
        <v>46174</v>
      </c>
      <c r="L65" s="142">
        <v>46203</v>
      </c>
      <c r="M65" s="19"/>
      <c r="N65" s="20"/>
      <c r="O65" s="40"/>
      <c r="P65" s="40"/>
      <c r="Q65" s="40"/>
      <c r="R65" s="40"/>
      <c r="S65" s="40"/>
      <c r="T65" s="40"/>
      <c r="U65" s="40"/>
      <c r="V65" s="40"/>
      <c r="W65" s="20"/>
      <c r="X65" s="31"/>
      <c r="Y65" s="20"/>
      <c r="Z65" s="31"/>
      <c r="AA65" s="20"/>
      <c r="AB65" s="31"/>
      <c r="AC65" s="40"/>
      <c r="AD65" s="41"/>
      <c r="AE65" s="41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2"/>
    </row>
    <row r="66" spans="1:84" ht="15.75" x14ac:dyDescent="0.25">
      <c r="A66" s="149" t="s">
        <v>92</v>
      </c>
      <c r="B66" s="150" t="s">
        <v>115</v>
      </c>
      <c r="C66" s="25"/>
      <c r="D66" s="43" t="s">
        <v>116</v>
      </c>
      <c r="E66" s="150"/>
      <c r="F66" s="16" t="s">
        <v>114</v>
      </c>
      <c r="G66" s="44" t="s">
        <v>117</v>
      </c>
      <c r="H66" s="17" t="s">
        <v>17</v>
      </c>
      <c r="I66" s="134">
        <v>1</v>
      </c>
      <c r="J66" s="17" t="s">
        <v>14</v>
      </c>
      <c r="K66" s="142">
        <v>46174</v>
      </c>
      <c r="L66" s="142">
        <v>46203</v>
      </c>
      <c r="M66" s="19"/>
      <c r="N66" s="20"/>
      <c r="O66" s="31"/>
      <c r="P66" s="31"/>
      <c r="Q66" s="31"/>
      <c r="R66" s="20"/>
      <c r="S66" s="31"/>
      <c r="T66" s="31"/>
      <c r="U66" s="31"/>
      <c r="V66" s="20"/>
      <c r="W66" s="31"/>
      <c r="X66" s="20"/>
      <c r="Y66" s="31"/>
      <c r="Z66" s="20"/>
      <c r="AA66" s="31"/>
      <c r="AB66" s="20"/>
      <c r="AC66" s="31"/>
      <c r="AD66" s="45"/>
      <c r="AE66" s="45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20"/>
      <c r="BV66" s="20"/>
      <c r="BW66" s="31"/>
      <c r="BX66" s="31"/>
      <c r="BY66" s="20"/>
      <c r="BZ66" s="20"/>
      <c r="CA66" s="31"/>
      <c r="CB66" s="31"/>
      <c r="CC66" s="20"/>
      <c r="CD66" s="20"/>
      <c r="CE66" s="31"/>
      <c r="CF66" s="32"/>
    </row>
    <row r="67" spans="1:84" ht="15.75" x14ac:dyDescent="0.25">
      <c r="A67" s="149" t="s">
        <v>92</v>
      </c>
      <c r="B67" s="150" t="s">
        <v>118</v>
      </c>
      <c r="C67" s="25"/>
      <c r="D67" s="15" t="s">
        <v>119</v>
      </c>
      <c r="E67" s="150"/>
      <c r="F67" s="16" t="s">
        <v>13</v>
      </c>
      <c r="G67" s="16" t="s">
        <v>13</v>
      </c>
      <c r="H67" s="16" t="s">
        <v>72</v>
      </c>
      <c r="I67" s="148">
        <f>AVERAGE(I68:I77)</f>
        <v>0.92500000000000004</v>
      </c>
      <c r="J67" s="17" t="s">
        <v>95</v>
      </c>
      <c r="K67" s="142">
        <v>46096</v>
      </c>
      <c r="L67" s="142">
        <v>46157</v>
      </c>
      <c r="M67" s="19"/>
      <c r="N67" s="20"/>
      <c r="O67" s="35"/>
      <c r="P67" s="35"/>
      <c r="Q67" s="35"/>
      <c r="R67" s="31"/>
      <c r="S67" s="31"/>
      <c r="T67" s="31"/>
      <c r="U67" s="31"/>
      <c r="V67" s="31"/>
      <c r="W67" s="31"/>
      <c r="X67" s="31"/>
      <c r="Y67" s="20"/>
      <c r="Z67" s="20"/>
      <c r="AA67" s="20"/>
      <c r="AB67" s="20"/>
      <c r="AC67" s="20"/>
      <c r="AD67" s="20"/>
      <c r="AE67" s="20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20"/>
      <c r="BV67" s="20"/>
      <c r="BW67" s="31"/>
      <c r="BX67" s="31"/>
      <c r="BY67" s="20"/>
      <c r="BZ67" s="20"/>
      <c r="CA67" s="31"/>
      <c r="CB67" s="31"/>
      <c r="CC67" s="20"/>
      <c r="CD67" s="20"/>
      <c r="CE67" s="31"/>
      <c r="CF67" s="32"/>
    </row>
    <row r="68" spans="1:84" ht="15.75" x14ac:dyDescent="0.25">
      <c r="A68" s="149" t="s">
        <v>92</v>
      </c>
      <c r="B68" s="150" t="s">
        <v>120</v>
      </c>
      <c r="C68" s="25"/>
      <c r="D68" s="26" t="s">
        <v>121</v>
      </c>
      <c r="E68" s="150"/>
      <c r="F68" s="16" t="s">
        <v>13</v>
      </c>
      <c r="G68" s="16" t="s">
        <v>13</v>
      </c>
      <c r="H68" s="17" t="s">
        <v>17</v>
      </c>
      <c r="I68" s="134">
        <v>1</v>
      </c>
      <c r="J68" s="17" t="s">
        <v>95</v>
      </c>
      <c r="K68" s="142">
        <v>46096</v>
      </c>
      <c r="L68" s="142">
        <v>46157</v>
      </c>
      <c r="M68" s="19"/>
      <c r="N68" s="20"/>
      <c r="O68" s="30"/>
      <c r="P68" s="30"/>
      <c r="Q68" s="30"/>
      <c r="R68" s="31"/>
      <c r="S68" s="31"/>
      <c r="T68" s="31"/>
      <c r="U68" s="31"/>
      <c r="V68" s="31"/>
      <c r="W68" s="31"/>
      <c r="X68" s="31"/>
      <c r="Y68" s="20"/>
      <c r="Z68" s="20"/>
      <c r="AA68" s="20"/>
      <c r="AB68" s="20"/>
      <c r="AC68" s="20"/>
      <c r="AD68" s="20"/>
      <c r="AE68" s="20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20"/>
      <c r="BV68" s="20"/>
      <c r="BW68" s="31"/>
      <c r="BX68" s="31"/>
      <c r="BY68" s="20"/>
      <c r="BZ68" s="20"/>
      <c r="CA68" s="31"/>
      <c r="CB68" s="31"/>
      <c r="CC68" s="20"/>
      <c r="CD68" s="20"/>
      <c r="CE68" s="31"/>
      <c r="CF68" s="32"/>
    </row>
    <row r="69" spans="1:84" ht="15.75" x14ac:dyDescent="0.25">
      <c r="A69" s="149" t="s">
        <v>92</v>
      </c>
      <c r="B69" s="150" t="s">
        <v>122</v>
      </c>
      <c r="C69" s="25"/>
      <c r="D69" s="26" t="s">
        <v>123</v>
      </c>
      <c r="E69" s="150"/>
      <c r="F69" s="16" t="s">
        <v>13</v>
      </c>
      <c r="G69" s="16" t="s">
        <v>13</v>
      </c>
      <c r="H69" s="17" t="s">
        <v>17</v>
      </c>
      <c r="I69" s="134">
        <v>1</v>
      </c>
      <c r="J69" s="17" t="s">
        <v>95</v>
      </c>
      <c r="K69" s="142">
        <v>46096</v>
      </c>
      <c r="L69" s="142">
        <v>46157</v>
      </c>
      <c r="M69" s="19"/>
      <c r="N69" s="20"/>
      <c r="O69" s="30"/>
      <c r="P69" s="30"/>
      <c r="Q69" s="30"/>
      <c r="R69" s="31"/>
      <c r="S69" s="31"/>
      <c r="T69" s="31"/>
      <c r="U69" s="31"/>
      <c r="V69" s="31"/>
      <c r="W69" s="31"/>
      <c r="X69" s="31"/>
      <c r="Y69" s="20"/>
      <c r="Z69" s="20"/>
      <c r="AA69" s="20"/>
      <c r="AB69" s="20"/>
      <c r="AC69" s="20"/>
      <c r="AD69" s="20"/>
      <c r="AE69" s="20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20"/>
      <c r="BV69" s="20"/>
      <c r="BW69" s="31"/>
      <c r="BX69" s="31"/>
      <c r="BY69" s="20"/>
      <c r="BZ69" s="20"/>
      <c r="CA69" s="31"/>
      <c r="CB69" s="31"/>
      <c r="CC69" s="20"/>
      <c r="CD69" s="20"/>
      <c r="CE69" s="31"/>
      <c r="CF69" s="32"/>
    </row>
    <row r="70" spans="1:84" ht="27" x14ac:dyDescent="0.25">
      <c r="A70" s="149" t="s">
        <v>92</v>
      </c>
      <c r="B70" s="150" t="s">
        <v>124</v>
      </c>
      <c r="C70" s="25"/>
      <c r="D70" s="26" t="s">
        <v>125</v>
      </c>
      <c r="E70" s="150"/>
      <c r="F70" s="16" t="s">
        <v>13</v>
      </c>
      <c r="G70" s="16" t="s">
        <v>13</v>
      </c>
      <c r="H70" s="17" t="s">
        <v>17</v>
      </c>
      <c r="I70" s="134">
        <v>1</v>
      </c>
      <c r="J70" s="17" t="s">
        <v>95</v>
      </c>
      <c r="K70" s="142">
        <v>46096</v>
      </c>
      <c r="L70" s="142">
        <v>46157</v>
      </c>
      <c r="M70" s="19"/>
      <c r="N70" s="20"/>
      <c r="O70" s="30"/>
      <c r="P70" s="30"/>
      <c r="Q70" s="30"/>
      <c r="R70" s="31"/>
      <c r="S70" s="31"/>
      <c r="T70" s="31"/>
      <c r="U70" s="31"/>
      <c r="V70" s="31"/>
      <c r="W70" s="31"/>
      <c r="X70" s="31"/>
      <c r="Y70" s="20"/>
      <c r="Z70" s="20"/>
      <c r="AA70" s="20"/>
      <c r="AB70" s="20"/>
      <c r="AC70" s="20"/>
      <c r="AD70" s="20"/>
      <c r="AE70" s="20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20"/>
      <c r="BV70" s="20"/>
      <c r="BW70" s="31"/>
      <c r="BX70" s="31"/>
      <c r="BY70" s="20"/>
      <c r="BZ70" s="20"/>
      <c r="CA70" s="31"/>
      <c r="CB70" s="31"/>
      <c r="CC70" s="20"/>
      <c r="CD70" s="20"/>
      <c r="CE70" s="31"/>
      <c r="CF70" s="32"/>
    </row>
    <row r="71" spans="1:84" ht="15.75" x14ac:dyDescent="0.25">
      <c r="A71" s="149" t="s">
        <v>92</v>
      </c>
      <c r="B71" s="150" t="s">
        <v>126</v>
      </c>
      <c r="C71" s="25"/>
      <c r="D71" s="26" t="s">
        <v>127</v>
      </c>
      <c r="E71" s="150"/>
      <c r="F71" s="16" t="s">
        <v>13</v>
      </c>
      <c r="G71" s="16" t="s">
        <v>13</v>
      </c>
      <c r="H71" s="17" t="s">
        <v>72</v>
      </c>
      <c r="I71" s="134">
        <v>0.25</v>
      </c>
      <c r="J71" s="17" t="s">
        <v>14</v>
      </c>
      <c r="K71" s="142">
        <v>46174</v>
      </c>
      <c r="L71" s="142"/>
      <c r="M71" s="19"/>
      <c r="N71" s="20"/>
      <c r="O71" s="30"/>
      <c r="P71" s="30"/>
      <c r="Q71" s="30"/>
      <c r="R71" s="31"/>
      <c r="S71" s="31"/>
      <c r="T71" s="31"/>
      <c r="U71" s="31"/>
      <c r="V71" s="31"/>
      <c r="W71" s="31"/>
      <c r="X71" s="31"/>
      <c r="Y71" s="20"/>
      <c r="Z71" s="20"/>
      <c r="AA71" s="20"/>
      <c r="AB71" s="20"/>
      <c r="AC71" s="20"/>
      <c r="AD71" s="20"/>
      <c r="AE71" s="20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20"/>
      <c r="BV71" s="20"/>
      <c r="BW71" s="31"/>
      <c r="BX71" s="31"/>
      <c r="BY71" s="20"/>
      <c r="BZ71" s="20"/>
      <c r="CA71" s="31"/>
      <c r="CB71" s="31"/>
      <c r="CC71" s="20"/>
      <c r="CD71" s="20"/>
      <c r="CE71" s="31"/>
      <c r="CF71" s="32"/>
    </row>
    <row r="72" spans="1:84" ht="15.75" x14ac:dyDescent="0.25">
      <c r="A72" s="149" t="s">
        <v>92</v>
      </c>
      <c r="B72" s="150" t="s">
        <v>128</v>
      </c>
      <c r="C72" s="25"/>
      <c r="D72" s="26" t="s">
        <v>129</v>
      </c>
      <c r="E72" s="150"/>
      <c r="F72" s="16" t="s">
        <v>13</v>
      </c>
      <c r="G72" s="16" t="s">
        <v>13</v>
      </c>
      <c r="H72" s="17" t="s">
        <v>17</v>
      </c>
      <c r="I72" s="134">
        <v>1</v>
      </c>
      <c r="J72" s="17" t="s">
        <v>95</v>
      </c>
      <c r="K72" s="142">
        <v>46096</v>
      </c>
      <c r="L72" s="142">
        <v>46157</v>
      </c>
      <c r="M72" s="19"/>
      <c r="N72" s="20"/>
      <c r="O72" s="30"/>
      <c r="P72" s="30"/>
      <c r="Q72" s="30"/>
      <c r="R72" s="31"/>
      <c r="S72" s="31"/>
      <c r="T72" s="31"/>
      <c r="U72" s="31"/>
      <c r="V72" s="31"/>
      <c r="W72" s="31"/>
      <c r="X72" s="31"/>
      <c r="Y72" s="20"/>
      <c r="Z72" s="20"/>
      <c r="AA72" s="20"/>
      <c r="AB72" s="20"/>
      <c r="AC72" s="20"/>
      <c r="AD72" s="20"/>
      <c r="AE72" s="20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20"/>
      <c r="BV72" s="20"/>
      <c r="BW72" s="31"/>
      <c r="BX72" s="31"/>
      <c r="BY72" s="20"/>
      <c r="BZ72" s="20"/>
      <c r="CA72" s="31"/>
      <c r="CB72" s="31"/>
      <c r="CC72" s="20"/>
      <c r="CD72" s="20"/>
      <c r="CE72" s="31"/>
      <c r="CF72" s="32"/>
    </row>
    <row r="73" spans="1:84" ht="15.75" x14ac:dyDescent="0.25">
      <c r="A73" s="149" t="s">
        <v>92</v>
      </c>
      <c r="B73" s="150" t="s">
        <v>130</v>
      </c>
      <c r="C73" s="25"/>
      <c r="D73" s="26" t="s">
        <v>131</v>
      </c>
      <c r="E73" s="150"/>
      <c r="F73" s="16" t="s">
        <v>13</v>
      </c>
      <c r="G73" s="16" t="s">
        <v>13</v>
      </c>
      <c r="H73" s="17" t="s">
        <v>17</v>
      </c>
      <c r="I73" s="134">
        <v>1</v>
      </c>
      <c r="J73" s="17" t="s">
        <v>95</v>
      </c>
      <c r="K73" s="142">
        <v>46096</v>
      </c>
      <c r="L73" s="142">
        <v>46157</v>
      </c>
      <c r="M73" s="19"/>
      <c r="N73" s="20"/>
      <c r="O73" s="30"/>
      <c r="P73" s="30"/>
      <c r="Q73" s="30"/>
      <c r="R73" s="31"/>
      <c r="S73" s="31"/>
      <c r="T73" s="31"/>
      <c r="U73" s="31"/>
      <c r="V73" s="31"/>
      <c r="W73" s="31"/>
      <c r="X73" s="31"/>
      <c r="Y73" s="20"/>
      <c r="Z73" s="20"/>
      <c r="AA73" s="20"/>
      <c r="AB73" s="20"/>
      <c r="AC73" s="20"/>
      <c r="AD73" s="20"/>
      <c r="AE73" s="20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20"/>
      <c r="BV73" s="20"/>
      <c r="BW73" s="31"/>
      <c r="BX73" s="31"/>
      <c r="BY73" s="20"/>
      <c r="BZ73" s="20"/>
      <c r="CA73" s="31"/>
      <c r="CB73" s="31"/>
      <c r="CC73" s="20"/>
      <c r="CD73" s="20"/>
      <c r="CE73" s="31"/>
      <c r="CF73" s="32"/>
    </row>
    <row r="74" spans="1:84" ht="15.75" x14ac:dyDescent="0.25">
      <c r="A74" s="149" t="s">
        <v>92</v>
      </c>
      <c r="B74" s="150" t="s">
        <v>132</v>
      </c>
      <c r="C74" s="25"/>
      <c r="D74" s="26" t="s">
        <v>133</v>
      </c>
      <c r="E74" s="150"/>
      <c r="F74" s="16" t="s">
        <v>13</v>
      </c>
      <c r="G74" s="16" t="s">
        <v>13</v>
      </c>
      <c r="H74" s="17" t="s">
        <v>17</v>
      </c>
      <c r="I74" s="134">
        <v>1</v>
      </c>
      <c r="J74" s="17" t="s">
        <v>95</v>
      </c>
      <c r="K74" s="142">
        <v>46096</v>
      </c>
      <c r="L74" s="142">
        <v>46157</v>
      </c>
      <c r="M74" s="19"/>
      <c r="N74" s="20"/>
      <c r="O74" s="30"/>
      <c r="P74" s="30"/>
      <c r="Q74" s="30"/>
      <c r="R74" s="31"/>
      <c r="S74" s="31"/>
      <c r="T74" s="31"/>
      <c r="U74" s="31"/>
      <c r="V74" s="31"/>
      <c r="W74" s="31"/>
      <c r="X74" s="31"/>
      <c r="Y74" s="20"/>
      <c r="Z74" s="20"/>
      <c r="AA74" s="20"/>
      <c r="AB74" s="20"/>
      <c r="AC74" s="20"/>
      <c r="AD74" s="20"/>
      <c r="AE74" s="20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20"/>
      <c r="BV74" s="20"/>
      <c r="BW74" s="31"/>
      <c r="BX74" s="31"/>
      <c r="BY74" s="20"/>
      <c r="BZ74" s="20"/>
      <c r="CA74" s="31"/>
      <c r="CB74" s="31"/>
      <c r="CC74" s="20"/>
      <c r="CD74" s="20"/>
      <c r="CE74" s="31"/>
      <c r="CF74" s="32"/>
    </row>
    <row r="75" spans="1:84" ht="15.75" x14ac:dyDescent="0.25">
      <c r="A75" s="149" t="s">
        <v>92</v>
      </c>
      <c r="B75" s="150" t="s">
        <v>134</v>
      </c>
      <c r="C75" s="25"/>
      <c r="D75" s="26" t="s">
        <v>135</v>
      </c>
      <c r="E75" s="150"/>
      <c r="F75" s="16" t="s">
        <v>13</v>
      </c>
      <c r="G75" s="16" t="s">
        <v>13</v>
      </c>
      <c r="H75" s="17" t="s">
        <v>17</v>
      </c>
      <c r="I75" s="134">
        <v>1</v>
      </c>
      <c r="J75" s="17" t="s">
        <v>95</v>
      </c>
      <c r="K75" s="142">
        <v>46096</v>
      </c>
      <c r="L75" s="142">
        <v>46157</v>
      </c>
      <c r="M75" s="19"/>
      <c r="N75" s="20"/>
      <c r="O75" s="30"/>
      <c r="P75" s="30"/>
      <c r="Q75" s="30"/>
      <c r="R75" s="31"/>
      <c r="S75" s="31"/>
      <c r="T75" s="31"/>
      <c r="U75" s="31"/>
      <c r="V75" s="31"/>
      <c r="W75" s="31"/>
      <c r="X75" s="31"/>
      <c r="Y75" s="20"/>
      <c r="Z75" s="20"/>
      <c r="AA75" s="20"/>
      <c r="AB75" s="20"/>
      <c r="AC75" s="20"/>
      <c r="AD75" s="20"/>
      <c r="AE75" s="20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20"/>
      <c r="BV75" s="20"/>
      <c r="BW75" s="31"/>
      <c r="BX75" s="31"/>
      <c r="BY75" s="20"/>
      <c r="BZ75" s="20"/>
      <c r="CA75" s="31"/>
      <c r="CB75" s="31"/>
      <c r="CC75" s="20"/>
      <c r="CD75" s="20"/>
      <c r="CE75" s="31"/>
      <c r="CF75" s="32"/>
    </row>
    <row r="76" spans="1:84" ht="15.75" x14ac:dyDescent="0.25">
      <c r="A76" s="149" t="s">
        <v>92</v>
      </c>
      <c r="B76" s="150" t="s">
        <v>136</v>
      </c>
      <c r="C76" s="25"/>
      <c r="D76" s="15" t="s">
        <v>113</v>
      </c>
      <c r="E76" s="150"/>
      <c r="F76" s="16" t="s">
        <v>114</v>
      </c>
      <c r="G76" s="16" t="s">
        <v>13</v>
      </c>
      <c r="H76" s="17" t="s">
        <v>17</v>
      </c>
      <c r="I76" s="134">
        <v>1</v>
      </c>
      <c r="J76" s="17" t="s">
        <v>14</v>
      </c>
      <c r="K76" s="142">
        <v>46143</v>
      </c>
      <c r="L76" s="142">
        <v>46157</v>
      </c>
      <c r="M76" s="19"/>
      <c r="N76" s="20"/>
      <c r="O76" s="40"/>
      <c r="P76" s="41"/>
      <c r="Q76" s="41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2"/>
    </row>
    <row r="77" spans="1:84" ht="15.75" x14ac:dyDescent="0.25">
      <c r="A77" s="149" t="s">
        <v>92</v>
      </c>
      <c r="B77" s="150" t="s">
        <v>137</v>
      </c>
      <c r="C77" s="25"/>
      <c r="D77" s="43" t="s">
        <v>138</v>
      </c>
      <c r="E77" s="150"/>
      <c r="F77" s="16" t="s">
        <v>114</v>
      </c>
      <c r="G77" s="44" t="s">
        <v>139</v>
      </c>
      <c r="H77" s="17" t="s">
        <v>17</v>
      </c>
      <c r="I77" s="134">
        <v>1</v>
      </c>
      <c r="J77" s="17" t="s">
        <v>79</v>
      </c>
      <c r="K77" s="142">
        <v>46143</v>
      </c>
      <c r="L77" s="142">
        <v>46157</v>
      </c>
      <c r="M77" s="19"/>
      <c r="N77" s="20"/>
      <c r="O77" s="31"/>
      <c r="P77" s="46"/>
      <c r="Q77" s="46"/>
      <c r="R77" s="31"/>
      <c r="S77" s="31"/>
      <c r="T77" s="31"/>
      <c r="U77" s="31"/>
      <c r="V77" s="31"/>
      <c r="W77" s="31"/>
      <c r="X77" s="31"/>
      <c r="Y77" s="31"/>
      <c r="Z77" s="31"/>
      <c r="AA77" s="20"/>
      <c r="AB77" s="20"/>
      <c r="AC77" s="20"/>
      <c r="AD77" s="20"/>
      <c r="AE77" s="20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20"/>
      <c r="BV77" s="20"/>
      <c r="BW77" s="31"/>
      <c r="BX77" s="31"/>
      <c r="BY77" s="20"/>
      <c r="BZ77" s="20"/>
      <c r="CA77" s="31"/>
      <c r="CB77" s="31"/>
      <c r="CC77" s="20"/>
      <c r="CD77" s="20"/>
      <c r="CE77" s="31"/>
      <c r="CF77" s="32"/>
    </row>
    <row r="78" spans="1:84" ht="15.75" x14ac:dyDescent="0.25">
      <c r="A78" s="149" t="s">
        <v>92</v>
      </c>
      <c r="B78" s="150" t="s">
        <v>140</v>
      </c>
      <c r="C78" s="25"/>
      <c r="D78" s="15" t="s">
        <v>141</v>
      </c>
      <c r="E78" s="150"/>
      <c r="F78" s="16" t="s">
        <v>13</v>
      </c>
      <c r="G78" s="16" t="s">
        <v>13</v>
      </c>
      <c r="H78" s="16" t="s">
        <v>72</v>
      </c>
      <c r="I78" s="148">
        <f>AVERAGE(I79:I87)</f>
        <v>0</v>
      </c>
      <c r="J78" s="17" t="s">
        <v>95</v>
      </c>
      <c r="K78" s="142">
        <v>46204</v>
      </c>
      <c r="L78" s="142">
        <v>46265</v>
      </c>
      <c r="M78" s="19"/>
      <c r="N78" s="20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20"/>
      <c r="Z78" s="20"/>
      <c r="AA78" s="20"/>
      <c r="AB78" s="20"/>
      <c r="AC78" s="20"/>
      <c r="AD78" s="20"/>
      <c r="AE78" s="20"/>
      <c r="AF78" s="31"/>
      <c r="AG78" s="35"/>
      <c r="AH78" s="35"/>
      <c r="AI78" s="35"/>
      <c r="AJ78" s="35"/>
      <c r="AK78" s="35"/>
      <c r="AL78" s="35"/>
      <c r="AM78" s="35"/>
      <c r="AN78" s="35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20"/>
      <c r="BV78" s="20"/>
      <c r="BW78" s="31"/>
      <c r="BX78" s="31"/>
      <c r="BY78" s="20"/>
      <c r="BZ78" s="20"/>
      <c r="CA78" s="31"/>
      <c r="CB78" s="31"/>
      <c r="CC78" s="20"/>
      <c r="CD78" s="20"/>
      <c r="CE78" s="31"/>
      <c r="CF78" s="32"/>
    </row>
    <row r="79" spans="1:84" ht="27" x14ac:dyDescent="0.25">
      <c r="A79" s="149" t="s">
        <v>92</v>
      </c>
      <c r="B79" s="150" t="s">
        <v>142</v>
      </c>
      <c r="C79" s="25"/>
      <c r="D79" s="26" t="s">
        <v>881</v>
      </c>
      <c r="E79" s="175" t="s">
        <v>905</v>
      </c>
      <c r="F79" s="16" t="s">
        <v>13</v>
      </c>
      <c r="G79" s="16" t="s">
        <v>13</v>
      </c>
      <c r="H79" s="17" t="s">
        <v>72</v>
      </c>
      <c r="I79" s="134">
        <v>0</v>
      </c>
      <c r="J79" s="17" t="s">
        <v>95</v>
      </c>
      <c r="K79" s="142">
        <v>46204</v>
      </c>
      <c r="L79" s="142">
        <v>46227</v>
      </c>
      <c r="M79" s="19"/>
      <c r="N79" s="20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20"/>
      <c r="Z79" s="20"/>
      <c r="AA79" s="20"/>
      <c r="AB79" s="20"/>
      <c r="AC79" s="20"/>
      <c r="AD79" s="20"/>
      <c r="AE79" s="20"/>
      <c r="AF79" s="31"/>
      <c r="AG79" s="35"/>
      <c r="AH79" s="35"/>
      <c r="AI79" s="35"/>
      <c r="AJ79" s="35"/>
      <c r="AK79" s="35"/>
      <c r="AL79" s="35"/>
      <c r="AM79" s="35"/>
      <c r="AN79" s="35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20"/>
      <c r="BV79" s="20"/>
      <c r="BW79" s="31"/>
      <c r="BX79" s="31"/>
      <c r="BY79" s="20"/>
      <c r="BZ79" s="20"/>
      <c r="CA79" s="31"/>
      <c r="CB79" s="31"/>
      <c r="CC79" s="20"/>
      <c r="CD79" s="20"/>
      <c r="CE79" s="31"/>
      <c r="CF79" s="32"/>
    </row>
    <row r="80" spans="1:84" ht="15.75" x14ac:dyDescent="0.25">
      <c r="A80" s="149" t="s">
        <v>92</v>
      </c>
      <c r="B80" s="150" t="s">
        <v>144</v>
      </c>
      <c r="C80" s="25"/>
      <c r="D80" s="26" t="s">
        <v>143</v>
      </c>
      <c r="E80" s="150"/>
      <c r="F80" s="16" t="s">
        <v>13</v>
      </c>
      <c r="G80" s="16" t="s">
        <v>13</v>
      </c>
      <c r="H80" s="17" t="s">
        <v>72</v>
      </c>
      <c r="I80" s="134">
        <v>0</v>
      </c>
      <c r="J80" s="17" t="s">
        <v>95</v>
      </c>
      <c r="K80" s="142">
        <v>46204</v>
      </c>
      <c r="L80" s="142">
        <v>46265</v>
      </c>
      <c r="M80" s="19"/>
      <c r="N80" s="20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20"/>
      <c r="Z80" s="20"/>
      <c r="AA80" s="20"/>
      <c r="AB80" s="20"/>
      <c r="AC80" s="20"/>
      <c r="AD80" s="20"/>
      <c r="AE80" s="20"/>
      <c r="AF80" s="31"/>
      <c r="AG80" s="30"/>
      <c r="AH80" s="30"/>
      <c r="AI80" s="30"/>
      <c r="AJ80" s="30"/>
      <c r="AK80" s="30"/>
      <c r="AL80" s="30"/>
      <c r="AM80" s="30"/>
      <c r="AN80" s="30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20"/>
      <c r="BV80" s="20"/>
      <c r="BW80" s="31"/>
      <c r="BX80" s="31"/>
      <c r="BY80" s="20"/>
      <c r="BZ80" s="20"/>
      <c r="CA80" s="31"/>
      <c r="CB80" s="31"/>
      <c r="CC80" s="20"/>
      <c r="CD80" s="20"/>
      <c r="CE80" s="31"/>
      <c r="CF80" s="32"/>
    </row>
    <row r="81" spans="1:84" ht="15.75" x14ac:dyDescent="0.25">
      <c r="A81" s="149" t="s">
        <v>92</v>
      </c>
      <c r="B81" s="150" t="s">
        <v>146</v>
      </c>
      <c r="C81" s="25"/>
      <c r="D81" s="26" t="s">
        <v>145</v>
      </c>
      <c r="E81" s="150"/>
      <c r="F81" s="16" t="s">
        <v>13</v>
      </c>
      <c r="G81" s="16" t="s">
        <v>13</v>
      </c>
      <c r="H81" s="17" t="s">
        <v>72</v>
      </c>
      <c r="I81" s="134">
        <v>0</v>
      </c>
      <c r="J81" s="17" t="s">
        <v>95</v>
      </c>
      <c r="K81" s="142">
        <v>46204</v>
      </c>
      <c r="L81" s="142">
        <v>46265</v>
      </c>
      <c r="M81" s="19"/>
      <c r="N81" s="20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20"/>
      <c r="Z81" s="20"/>
      <c r="AA81" s="20"/>
      <c r="AB81" s="20"/>
      <c r="AC81" s="20"/>
      <c r="AD81" s="20"/>
      <c r="AE81" s="20"/>
      <c r="AF81" s="31"/>
      <c r="AG81" s="30"/>
      <c r="AH81" s="30"/>
      <c r="AI81" s="30"/>
      <c r="AJ81" s="30"/>
      <c r="AK81" s="30"/>
      <c r="AL81" s="30"/>
      <c r="AM81" s="30"/>
      <c r="AN81" s="30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20"/>
      <c r="BV81" s="20"/>
      <c r="BW81" s="31"/>
      <c r="BX81" s="31"/>
      <c r="BY81" s="20"/>
      <c r="BZ81" s="20"/>
      <c r="CA81" s="31"/>
      <c r="CB81" s="31"/>
      <c r="CC81" s="20"/>
      <c r="CD81" s="20"/>
      <c r="CE81" s="31"/>
      <c r="CF81" s="32"/>
    </row>
    <row r="82" spans="1:84" ht="15.75" x14ac:dyDescent="0.25">
      <c r="A82" s="149" t="s">
        <v>92</v>
      </c>
      <c r="B82" s="150" t="s">
        <v>148</v>
      </c>
      <c r="C82" s="25"/>
      <c r="D82" s="26" t="s">
        <v>147</v>
      </c>
      <c r="E82" s="150"/>
      <c r="F82" s="16" t="s">
        <v>13</v>
      </c>
      <c r="G82" s="16" t="s">
        <v>13</v>
      </c>
      <c r="H82" s="17" t="s">
        <v>72</v>
      </c>
      <c r="I82" s="134">
        <v>0</v>
      </c>
      <c r="J82" s="17" t="s">
        <v>95</v>
      </c>
      <c r="K82" s="142">
        <v>46204</v>
      </c>
      <c r="L82" s="142">
        <v>46265</v>
      </c>
      <c r="M82" s="19"/>
      <c r="N82" s="20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20"/>
      <c r="Z82" s="20"/>
      <c r="AA82" s="20"/>
      <c r="AB82" s="20"/>
      <c r="AC82" s="20"/>
      <c r="AD82" s="20"/>
      <c r="AE82" s="20"/>
      <c r="AF82" s="31"/>
      <c r="AG82" s="30"/>
      <c r="AH82" s="30"/>
      <c r="AI82" s="30"/>
      <c r="AJ82" s="30"/>
      <c r="AK82" s="30"/>
      <c r="AL82" s="30"/>
      <c r="AM82" s="30"/>
      <c r="AN82" s="30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20"/>
      <c r="BV82" s="20"/>
      <c r="BW82" s="31"/>
      <c r="BX82" s="31"/>
      <c r="BY82" s="20"/>
      <c r="BZ82" s="20"/>
      <c r="CA82" s="31"/>
      <c r="CB82" s="31"/>
      <c r="CC82" s="20"/>
      <c r="CD82" s="20"/>
      <c r="CE82" s="31"/>
      <c r="CF82" s="32"/>
    </row>
    <row r="83" spans="1:84" ht="15.75" x14ac:dyDescent="0.25">
      <c r="A83" s="149" t="s">
        <v>92</v>
      </c>
      <c r="B83" s="150" t="s">
        <v>150</v>
      </c>
      <c r="C83" s="25"/>
      <c r="D83" s="26" t="s">
        <v>149</v>
      </c>
      <c r="E83" s="150"/>
      <c r="F83" s="16" t="s">
        <v>13</v>
      </c>
      <c r="G83" s="16" t="s">
        <v>13</v>
      </c>
      <c r="H83" s="17" t="s">
        <v>72</v>
      </c>
      <c r="I83" s="134">
        <v>0</v>
      </c>
      <c r="J83" s="17" t="s">
        <v>95</v>
      </c>
      <c r="K83" s="142">
        <v>46204</v>
      </c>
      <c r="L83" s="142">
        <v>46265</v>
      </c>
      <c r="M83" s="19"/>
      <c r="N83" s="20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20"/>
      <c r="Z83" s="20"/>
      <c r="AA83" s="20"/>
      <c r="AB83" s="20"/>
      <c r="AC83" s="20"/>
      <c r="AD83" s="20"/>
      <c r="AE83" s="20"/>
      <c r="AF83" s="31"/>
      <c r="AG83" s="30"/>
      <c r="AH83" s="30"/>
      <c r="AI83" s="30"/>
      <c r="AJ83" s="30"/>
      <c r="AK83" s="30"/>
      <c r="AL83" s="30"/>
      <c r="AM83" s="30"/>
      <c r="AN83" s="30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20"/>
      <c r="BV83" s="20"/>
      <c r="BW83" s="31"/>
      <c r="BX83" s="31"/>
      <c r="BY83" s="20"/>
      <c r="BZ83" s="20"/>
      <c r="CA83" s="31"/>
      <c r="CB83" s="31"/>
      <c r="CC83" s="20"/>
      <c r="CD83" s="20"/>
      <c r="CE83" s="31"/>
      <c r="CF83" s="32"/>
    </row>
    <row r="84" spans="1:84" ht="15.75" x14ac:dyDescent="0.25">
      <c r="A84" s="149" t="s">
        <v>92</v>
      </c>
      <c r="B84" s="150" t="s">
        <v>152</v>
      </c>
      <c r="C84" s="25"/>
      <c r="D84" s="26" t="s">
        <v>151</v>
      </c>
      <c r="E84" s="150"/>
      <c r="F84" s="16" t="s">
        <v>13</v>
      </c>
      <c r="G84" s="16" t="s">
        <v>13</v>
      </c>
      <c r="H84" s="17" t="s">
        <v>72</v>
      </c>
      <c r="I84" s="134">
        <v>0</v>
      </c>
      <c r="J84" s="17" t="s">
        <v>95</v>
      </c>
      <c r="K84" s="142">
        <v>46204</v>
      </c>
      <c r="L84" s="142">
        <v>46265</v>
      </c>
      <c r="M84" s="19"/>
      <c r="N84" s="20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20"/>
      <c r="Z84" s="20"/>
      <c r="AA84" s="20"/>
      <c r="AB84" s="20"/>
      <c r="AC84" s="20"/>
      <c r="AD84" s="20"/>
      <c r="AE84" s="20"/>
      <c r="AF84" s="31"/>
      <c r="AG84" s="30"/>
      <c r="AH84" s="30"/>
      <c r="AI84" s="30"/>
      <c r="AJ84" s="30"/>
      <c r="AK84" s="30"/>
      <c r="AL84" s="30"/>
      <c r="AM84" s="30"/>
      <c r="AN84" s="30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20"/>
      <c r="BV84" s="20"/>
      <c r="BW84" s="31"/>
      <c r="BX84" s="31"/>
      <c r="BY84" s="20"/>
      <c r="BZ84" s="20"/>
      <c r="CA84" s="31"/>
      <c r="CB84" s="31"/>
      <c r="CC84" s="20"/>
      <c r="CD84" s="20"/>
      <c r="CE84" s="31"/>
      <c r="CF84" s="32"/>
    </row>
    <row r="85" spans="1:84" ht="15.75" x14ac:dyDescent="0.25">
      <c r="A85" s="149" t="s">
        <v>92</v>
      </c>
      <c r="B85" s="150" t="s">
        <v>882</v>
      </c>
      <c r="C85" s="25"/>
      <c r="D85" s="26" t="s">
        <v>153</v>
      </c>
      <c r="E85" s="150"/>
      <c r="F85" s="16" t="s">
        <v>13</v>
      </c>
      <c r="G85" s="16" t="s">
        <v>13</v>
      </c>
      <c r="H85" s="17" t="s">
        <v>72</v>
      </c>
      <c r="I85" s="134">
        <v>0</v>
      </c>
      <c r="J85" s="17" t="s">
        <v>95</v>
      </c>
      <c r="K85" s="142">
        <v>46204</v>
      </c>
      <c r="L85" s="142">
        <v>46265</v>
      </c>
      <c r="M85" s="19"/>
      <c r="N85" s="20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20"/>
      <c r="Z85" s="20"/>
      <c r="AA85" s="20"/>
      <c r="AB85" s="20"/>
      <c r="AC85" s="20"/>
      <c r="AD85" s="20"/>
      <c r="AE85" s="20"/>
      <c r="AF85" s="31"/>
      <c r="AG85" s="30"/>
      <c r="AH85" s="30"/>
      <c r="AI85" s="30"/>
      <c r="AJ85" s="30"/>
      <c r="AK85" s="30"/>
      <c r="AL85" s="30"/>
      <c r="AM85" s="30"/>
      <c r="AN85" s="30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20"/>
      <c r="BV85" s="20"/>
      <c r="BW85" s="31"/>
      <c r="BX85" s="31"/>
      <c r="BY85" s="20"/>
      <c r="BZ85" s="20"/>
      <c r="CA85" s="31"/>
      <c r="CB85" s="31"/>
      <c r="CC85" s="20"/>
      <c r="CD85" s="20"/>
      <c r="CE85" s="31"/>
      <c r="CF85" s="32"/>
    </row>
    <row r="86" spans="1:84" ht="15.75" x14ac:dyDescent="0.25">
      <c r="A86" s="149" t="s">
        <v>92</v>
      </c>
      <c r="B86" s="150" t="s">
        <v>154</v>
      </c>
      <c r="C86" s="25"/>
      <c r="D86" s="15" t="s">
        <v>113</v>
      </c>
      <c r="E86" s="150"/>
      <c r="F86" s="16" t="s">
        <v>114</v>
      </c>
      <c r="G86" s="16" t="s">
        <v>13</v>
      </c>
      <c r="H86" s="17" t="s">
        <v>72</v>
      </c>
      <c r="I86" s="134">
        <v>0</v>
      </c>
      <c r="J86" s="17" t="s">
        <v>14</v>
      </c>
      <c r="K86" s="142">
        <v>46249</v>
      </c>
      <c r="L86" s="142">
        <v>46265</v>
      </c>
      <c r="M86" s="19"/>
      <c r="N86" s="2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1"/>
      <c r="AN86" s="41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2"/>
    </row>
    <row r="87" spans="1:84" ht="27" x14ac:dyDescent="0.25">
      <c r="A87" s="149" t="s">
        <v>92</v>
      </c>
      <c r="B87" s="150" t="s">
        <v>155</v>
      </c>
      <c r="C87" s="25"/>
      <c r="D87" s="43" t="s">
        <v>156</v>
      </c>
      <c r="E87" s="150"/>
      <c r="F87" s="16" t="s">
        <v>114</v>
      </c>
      <c r="G87" s="16" t="s">
        <v>157</v>
      </c>
      <c r="H87" s="17" t="s">
        <v>72</v>
      </c>
      <c r="I87" s="134">
        <v>0</v>
      </c>
      <c r="J87" s="17" t="s">
        <v>14</v>
      </c>
      <c r="K87" s="142">
        <v>46249</v>
      </c>
      <c r="L87" s="142">
        <v>46265</v>
      </c>
      <c r="M87" s="19"/>
      <c r="N87" s="20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20"/>
      <c r="Z87" s="20"/>
      <c r="AA87" s="20"/>
      <c r="AB87" s="20"/>
      <c r="AC87" s="20"/>
      <c r="AD87" s="20"/>
      <c r="AE87" s="20"/>
      <c r="AF87" s="31"/>
      <c r="AG87" s="31"/>
      <c r="AH87" s="31"/>
      <c r="AI87" s="31"/>
      <c r="AJ87" s="31"/>
      <c r="AK87" s="31"/>
      <c r="AL87" s="31"/>
      <c r="AM87" s="47"/>
      <c r="AN87" s="47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20"/>
      <c r="BV87" s="20"/>
      <c r="BW87" s="31"/>
      <c r="BX87" s="31"/>
      <c r="BY87" s="20"/>
      <c r="BZ87" s="20"/>
      <c r="CA87" s="31"/>
      <c r="CB87" s="31"/>
      <c r="CC87" s="20"/>
      <c r="CD87" s="20"/>
      <c r="CE87" s="31"/>
      <c r="CF87" s="32"/>
    </row>
    <row r="88" spans="1:84" s="152" customFormat="1" x14ac:dyDescent="0.25">
      <c r="A88" s="143" t="s">
        <v>158</v>
      </c>
      <c r="B88" s="144" t="s">
        <v>159</v>
      </c>
      <c r="C88" s="36"/>
      <c r="D88" s="37" t="s">
        <v>160</v>
      </c>
      <c r="E88" s="150"/>
      <c r="F88" s="139" t="s">
        <v>13</v>
      </c>
      <c r="G88" s="139" t="s">
        <v>13</v>
      </c>
      <c r="H88" s="139" t="str">
        <f>IF(COUNTIF(H89:H155,"Finalizado")=ROWS(H89:H155),"Finalizado",IF(COUNTIF(H89:H155,"Pendiente")=ROWS(H89:H155),"No iniciado","En proceso"))</f>
        <v>Finalizado</v>
      </c>
      <c r="I88" s="158">
        <f>AVERAGE(I89,I93,I97,I103,I109,I115,I121,I129,I139,I144,I149,I154,I155)</f>
        <v>1</v>
      </c>
      <c r="J88" s="139" t="s">
        <v>95</v>
      </c>
      <c r="K88" s="153">
        <v>46068</v>
      </c>
      <c r="L88" s="153">
        <v>46173</v>
      </c>
      <c r="M88" s="154"/>
      <c r="N88" s="155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5"/>
      <c r="AD88" s="155"/>
      <c r="AE88" s="155"/>
      <c r="AF88" s="155"/>
      <c r="AG88" s="155"/>
      <c r="AH88" s="155"/>
      <c r="AI88" s="155"/>
      <c r="AJ88" s="155"/>
      <c r="AK88" s="155"/>
      <c r="AL88" s="155"/>
      <c r="AM88" s="155"/>
      <c r="AN88" s="155"/>
      <c r="AO88" s="155"/>
      <c r="AP88" s="155"/>
      <c r="AQ88" s="155"/>
      <c r="AR88" s="155"/>
      <c r="AS88" s="155"/>
      <c r="AT88" s="155"/>
      <c r="AU88" s="155"/>
      <c r="AV88" s="155"/>
      <c r="AW88" s="155"/>
      <c r="AX88" s="155"/>
      <c r="AY88" s="155"/>
      <c r="AZ88" s="155"/>
      <c r="BA88" s="155"/>
      <c r="BB88" s="155"/>
      <c r="BC88" s="155"/>
      <c r="BD88" s="155"/>
      <c r="BE88" s="155"/>
      <c r="BF88" s="155"/>
      <c r="BG88" s="155"/>
      <c r="BH88" s="155"/>
      <c r="BI88" s="155"/>
      <c r="BJ88" s="155"/>
      <c r="BK88" s="155"/>
      <c r="BL88" s="155"/>
      <c r="BM88" s="155"/>
      <c r="BN88" s="155"/>
      <c r="BO88" s="155"/>
      <c r="BP88" s="155"/>
      <c r="BQ88" s="155"/>
      <c r="BR88" s="155"/>
      <c r="BS88" s="155"/>
      <c r="BT88" s="155"/>
      <c r="BU88" s="155"/>
      <c r="BV88" s="155"/>
      <c r="BW88" s="155"/>
      <c r="BX88" s="155"/>
      <c r="BY88" s="155"/>
      <c r="BZ88" s="155"/>
      <c r="CA88" s="155"/>
      <c r="CB88" s="155"/>
      <c r="CC88" s="155"/>
      <c r="CD88" s="155"/>
      <c r="CE88" s="155"/>
      <c r="CF88" s="157"/>
    </row>
    <row r="89" spans="1:84" ht="15.75" x14ac:dyDescent="0.25">
      <c r="A89" s="149" t="s">
        <v>158</v>
      </c>
      <c r="B89" s="150" t="s">
        <v>161</v>
      </c>
      <c r="C89" s="25"/>
      <c r="D89" s="15" t="s">
        <v>162</v>
      </c>
      <c r="E89" s="150"/>
      <c r="F89" s="16" t="s">
        <v>13</v>
      </c>
      <c r="G89" s="17" t="s">
        <v>13</v>
      </c>
      <c r="H89" s="16" t="s">
        <v>17</v>
      </c>
      <c r="I89" s="148">
        <f>AVERAGE(I90:I92)</f>
        <v>1</v>
      </c>
      <c r="J89" s="17" t="s">
        <v>79</v>
      </c>
      <c r="K89" s="142">
        <v>46068</v>
      </c>
      <c r="L89" s="142">
        <v>46096</v>
      </c>
      <c r="M89" s="19"/>
      <c r="N89" s="20"/>
      <c r="O89" s="38"/>
      <c r="P89" s="38"/>
      <c r="Q89" s="38"/>
      <c r="R89" s="3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0"/>
      <c r="BV89" s="40"/>
      <c r="BW89" s="48"/>
      <c r="BX89" s="48"/>
      <c r="BY89" s="40"/>
      <c r="BZ89" s="40"/>
      <c r="CA89" s="48"/>
      <c r="CB89" s="48"/>
      <c r="CC89" s="40"/>
      <c r="CD89" s="40"/>
      <c r="CE89" s="48"/>
      <c r="CF89" s="49"/>
    </row>
    <row r="90" spans="1:84" ht="15.75" x14ac:dyDescent="0.25">
      <c r="A90" s="149" t="s">
        <v>158</v>
      </c>
      <c r="B90" s="150" t="s">
        <v>163</v>
      </c>
      <c r="C90" s="25"/>
      <c r="D90" s="26" t="s">
        <v>164</v>
      </c>
      <c r="E90" s="150"/>
      <c r="F90" s="16" t="s">
        <v>13</v>
      </c>
      <c r="G90" s="17" t="s">
        <v>13</v>
      </c>
      <c r="H90" s="17" t="s">
        <v>17</v>
      </c>
      <c r="I90" s="134">
        <v>1</v>
      </c>
      <c r="J90" s="17" t="s">
        <v>79</v>
      </c>
      <c r="K90" s="142">
        <v>46068</v>
      </c>
      <c r="L90" s="142">
        <v>46096</v>
      </c>
      <c r="M90" s="19"/>
      <c r="N90" s="20"/>
      <c r="O90" s="39"/>
      <c r="P90" s="39"/>
      <c r="Q90" s="39"/>
      <c r="R90" s="39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0"/>
      <c r="BV90" s="40"/>
      <c r="BW90" s="48"/>
      <c r="BX90" s="48"/>
      <c r="BY90" s="40"/>
      <c r="BZ90" s="40"/>
      <c r="CA90" s="48"/>
      <c r="CB90" s="48"/>
      <c r="CC90" s="40"/>
      <c r="CD90" s="40"/>
      <c r="CE90" s="48"/>
      <c r="CF90" s="49"/>
    </row>
    <row r="91" spans="1:84" ht="15.75" x14ac:dyDescent="0.25">
      <c r="A91" s="149" t="s">
        <v>158</v>
      </c>
      <c r="B91" s="150" t="s">
        <v>165</v>
      </c>
      <c r="C91" s="25"/>
      <c r="D91" s="26" t="s">
        <v>166</v>
      </c>
      <c r="E91" s="150"/>
      <c r="F91" s="16" t="s">
        <v>13</v>
      </c>
      <c r="G91" s="17" t="s">
        <v>13</v>
      </c>
      <c r="H91" s="17" t="s">
        <v>17</v>
      </c>
      <c r="I91" s="134">
        <v>1</v>
      </c>
      <c r="J91" s="17" t="s">
        <v>79</v>
      </c>
      <c r="K91" s="142">
        <v>46068</v>
      </c>
      <c r="L91" s="142">
        <v>46096</v>
      </c>
      <c r="M91" s="19"/>
      <c r="N91" s="20"/>
      <c r="O91" s="39"/>
      <c r="P91" s="39"/>
      <c r="Q91" s="39"/>
      <c r="R91" s="39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0"/>
      <c r="BV91" s="40"/>
      <c r="BW91" s="48"/>
      <c r="BX91" s="48"/>
      <c r="BY91" s="40"/>
      <c r="BZ91" s="40"/>
      <c r="CA91" s="48"/>
      <c r="CB91" s="48"/>
      <c r="CC91" s="40"/>
      <c r="CD91" s="40"/>
      <c r="CE91" s="48"/>
      <c r="CF91" s="49"/>
    </row>
    <row r="92" spans="1:84" ht="15.75" x14ac:dyDescent="0.25">
      <c r="A92" s="149" t="s">
        <v>158</v>
      </c>
      <c r="B92" s="150" t="s">
        <v>167</v>
      </c>
      <c r="C92" s="25"/>
      <c r="D92" s="26" t="s">
        <v>168</v>
      </c>
      <c r="E92" s="150"/>
      <c r="F92" s="16" t="s">
        <v>13</v>
      </c>
      <c r="G92" s="17" t="s">
        <v>13</v>
      </c>
      <c r="H92" s="17" t="s">
        <v>17</v>
      </c>
      <c r="I92" s="134">
        <v>1</v>
      </c>
      <c r="J92" s="17" t="s">
        <v>79</v>
      </c>
      <c r="K92" s="142">
        <v>46068</v>
      </c>
      <c r="L92" s="142">
        <v>46096</v>
      </c>
      <c r="M92" s="19"/>
      <c r="N92" s="20"/>
      <c r="O92" s="39"/>
      <c r="P92" s="39"/>
      <c r="Q92" s="39"/>
      <c r="R92" s="39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0"/>
      <c r="BV92" s="40"/>
      <c r="BW92" s="48"/>
      <c r="BX92" s="48"/>
      <c r="BY92" s="40"/>
      <c r="BZ92" s="40"/>
      <c r="CA92" s="48"/>
      <c r="CB92" s="48"/>
      <c r="CC92" s="40"/>
      <c r="CD92" s="40"/>
      <c r="CE92" s="48"/>
      <c r="CF92" s="49"/>
    </row>
    <row r="93" spans="1:84" ht="15.75" x14ac:dyDescent="0.25">
      <c r="A93" s="149" t="s">
        <v>158</v>
      </c>
      <c r="B93" s="150" t="s">
        <v>169</v>
      </c>
      <c r="C93" s="25"/>
      <c r="D93" s="15" t="s">
        <v>170</v>
      </c>
      <c r="E93" s="150"/>
      <c r="F93" s="16" t="s">
        <v>13</v>
      </c>
      <c r="G93" s="16" t="s">
        <v>13</v>
      </c>
      <c r="H93" s="16" t="s">
        <v>17</v>
      </c>
      <c r="I93" s="148">
        <f>AVERAGE(I94:I96)</f>
        <v>1</v>
      </c>
      <c r="J93" s="17" t="s">
        <v>79</v>
      </c>
      <c r="K93" s="142">
        <v>46096</v>
      </c>
      <c r="L93" s="142">
        <v>46127</v>
      </c>
      <c r="M93" s="19"/>
      <c r="N93" s="20"/>
      <c r="O93" s="48"/>
      <c r="P93" s="48"/>
      <c r="Q93" s="48"/>
      <c r="R93" s="48"/>
      <c r="S93" s="50"/>
      <c r="T93" s="50"/>
      <c r="U93" s="50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0"/>
      <c r="BV93" s="40"/>
      <c r="BW93" s="48"/>
      <c r="BX93" s="48"/>
      <c r="BY93" s="40"/>
      <c r="BZ93" s="40"/>
      <c r="CA93" s="48"/>
      <c r="CB93" s="48"/>
      <c r="CC93" s="40"/>
      <c r="CD93" s="40"/>
      <c r="CE93" s="48"/>
      <c r="CF93" s="49"/>
    </row>
    <row r="94" spans="1:84" ht="15.75" x14ac:dyDescent="0.25">
      <c r="A94" s="149" t="s">
        <v>158</v>
      </c>
      <c r="B94" s="150" t="s">
        <v>171</v>
      </c>
      <c r="C94" s="25"/>
      <c r="D94" s="26" t="s">
        <v>172</v>
      </c>
      <c r="E94" s="150"/>
      <c r="F94" s="16" t="s">
        <v>13</v>
      </c>
      <c r="G94" s="16" t="s">
        <v>13</v>
      </c>
      <c r="H94" s="17" t="s">
        <v>17</v>
      </c>
      <c r="I94" s="134">
        <v>1</v>
      </c>
      <c r="J94" s="17" t="s">
        <v>79</v>
      </c>
      <c r="K94" s="142">
        <v>46096</v>
      </c>
      <c r="L94" s="142">
        <v>46127</v>
      </c>
      <c r="M94" s="19"/>
      <c r="N94" s="20"/>
      <c r="O94" s="48"/>
      <c r="P94" s="48"/>
      <c r="Q94" s="48"/>
      <c r="R94" s="48"/>
      <c r="S94" s="51"/>
      <c r="T94" s="51"/>
      <c r="U94" s="51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0"/>
      <c r="BV94" s="40"/>
      <c r="BW94" s="48"/>
      <c r="BX94" s="48"/>
      <c r="BY94" s="40"/>
      <c r="BZ94" s="40"/>
      <c r="CA94" s="48"/>
      <c r="CB94" s="48"/>
      <c r="CC94" s="40"/>
      <c r="CD94" s="40"/>
      <c r="CE94" s="48"/>
      <c r="CF94" s="49"/>
    </row>
    <row r="95" spans="1:84" ht="15.75" x14ac:dyDescent="0.25">
      <c r="A95" s="149" t="s">
        <v>158</v>
      </c>
      <c r="B95" s="150" t="s">
        <v>173</v>
      </c>
      <c r="C95" s="25"/>
      <c r="D95" s="26" t="s">
        <v>174</v>
      </c>
      <c r="E95" s="150"/>
      <c r="F95" s="16" t="s">
        <v>13</v>
      </c>
      <c r="G95" s="16" t="s">
        <v>13</v>
      </c>
      <c r="H95" s="17" t="s">
        <v>17</v>
      </c>
      <c r="I95" s="134">
        <v>1</v>
      </c>
      <c r="J95" s="17" t="s">
        <v>79</v>
      </c>
      <c r="K95" s="142">
        <v>46096</v>
      </c>
      <c r="L95" s="142">
        <v>46127</v>
      </c>
      <c r="M95" s="19"/>
      <c r="N95" s="20"/>
      <c r="O95" s="48"/>
      <c r="P95" s="48"/>
      <c r="Q95" s="48"/>
      <c r="R95" s="48"/>
      <c r="S95" s="48"/>
      <c r="T95" s="51"/>
      <c r="U95" s="51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0"/>
      <c r="BV95" s="40"/>
      <c r="BW95" s="48"/>
      <c r="BX95" s="48"/>
      <c r="BY95" s="40"/>
      <c r="BZ95" s="40"/>
      <c r="CA95" s="48"/>
      <c r="CB95" s="48"/>
      <c r="CC95" s="40"/>
      <c r="CD95" s="40"/>
      <c r="CE95" s="48"/>
      <c r="CF95" s="49"/>
    </row>
    <row r="96" spans="1:84" ht="15.75" x14ac:dyDescent="0.25">
      <c r="A96" s="149" t="s">
        <v>158</v>
      </c>
      <c r="B96" s="150" t="s">
        <v>175</v>
      </c>
      <c r="C96" s="25"/>
      <c r="D96" s="26" t="s">
        <v>176</v>
      </c>
      <c r="E96" s="150"/>
      <c r="F96" s="16" t="s">
        <v>13</v>
      </c>
      <c r="G96" s="16" t="s">
        <v>13</v>
      </c>
      <c r="H96" s="17" t="s">
        <v>17</v>
      </c>
      <c r="I96" s="134">
        <v>1</v>
      </c>
      <c r="J96" s="17" t="s">
        <v>79</v>
      </c>
      <c r="K96" s="142">
        <v>46113</v>
      </c>
      <c r="L96" s="142">
        <v>46127</v>
      </c>
      <c r="M96" s="19"/>
      <c r="N96" s="20"/>
      <c r="O96" s="48"/>
      <c r="P96" s="48"/>
      <c r="Q96" s="48"/>
      <c r="R96" s="48"/>
      <c r="S96" s="48"/>
      <c r="T96" s="48"/>
      <c r="U96" s="51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0"/>
      <c r="BV96" s="40"/>
      <c r="BW96" s="48"/>
      <c r="BX96" s="48"/>
      <c r="BY96" s="40"/>
      <c r="BZ96" s="40"/>
      <c r="CA96" s="48"/>
      <c r="CB96" s="48"/>
      <c r="CC96" s="40"/>
      <c r="CD96" s="40"/>
      <c r="CE96" s="48"/>
      <c r="CF96" s="49"/>
    </row>
    <row r="97" spans="1:84" ht="15.75" x14ac:dyDescent="0.25">
      <c r="A97" s="149" t="s">
        <v>158</v>
      </c>
      <c r="B97" s="150" t="s">
        <v>177</v>
      </c>
      <c r="C97" s="25"/>
      <c r="D97" s="15" t="s">
        <v>178</v>
      </c>
      <c r="E97" s="150"/>
      <c r="F97" s="16" t="s">
        <v>13</v>
      </c>
      <c r="G97" s="17" t="s">
        <v>13</v>
      </c>
      <c r="H97" s="16" t="s">
        <v>17</v>
      </c>
      <c r="I97" s="148">
        <f>AVERAGE(I98:I102)</f>
        <v>1</v>
      </c>
      <c r="J97" s="17" t="s">
        <v>79</v>
      </c>
      <c r="K97" s="142">
        <v>46113</v>
      </c>
      <c r="L97" s="142">
        <v>46142</v>
      </c>
      <c r="M97" s="19"/>
      <c r="N97" s="20"/>
      <c r="O97" s="48"/>
      <c r="P97" s="48"/>
      <c r="Q97" s="48"/>
      <c r="R97" s="48"/>
      <c r="S97" s="48"/>
      <c r="T97" s="48"/>
      <c r="U97" s="50"/>
      <c r="V97" s="50"/>
      <c r="W97" s="50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0"/>
      <c r="BV97" s="40"/>
      <c r="BW97" s="48"/>
      <c r="BX97" s="48"/>
      <c r="BY97" s="40"/>
      <c r="BZ97" s="40"/>
      <c r="CA97" s="48"/>
      <c r="CB97" s="48"/>
      <c r="CC97" s="40"/>
      <c r="CD97" s="40"/>
      <c r="CE97" s="48"/>
      <c r="CF97" s="49"/>
    </row>
    <row r="98" spans="1:84" ht="15.75" x14ac:dyDescent="0.25">
      <c r="A98" s="149" t="s">
        <v>158</v>
      </c>
      <c r="B98" s="150" t="s">
        <v>179</v>
      </c>
      <c r="C98" s="25"/>
      <c r="D98" s="26" t="s">
        <v>180</v>
      </c>
      <c r="E98" s="150"/>
      <c r="F98" s="16" t="s">
        <v>13</v>
      </c>
      <c r="G98" s="17" t="s">
        <v>13</v>
      </c>
      <c r="H98" s="17" t="s">
        <v>17</v>
      </c>
      <c r="I98" s="134">
        <v>1</v>
      </c>
      <c r="J98" s="17" t="s">
        <v>79</v>
      </c>
      <c r="K98" s="142">
        <v>46113</v>
      </c>
      <c r="L98" s="142">
        <v>46142</v>
      </c>
      <c r="M98" s="19"/>
      <c r="N98" s="20"/>
      <c r="O98" s="48"/>
      <c r="P98" s="48"/>
      <c r="Q98" s="48"/>
      <c r="R98" s="48"/>
      <c r="S98" s="48"/>
      <c r="T98" s="48"/>
      <c r="U98" s="51"/>
      <c r="V98" s="51"/>
      <c r="W98" s="51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0"/>
      <c r="BV98" s="40"/>
      <c r="BW98" s="48"/>
      <c r="BX98" s="48"/>
      <c r="BY98" s="40"/>
      <c r="BZ98" s="40"/>
      <c r="CA98" s="48"/>
      <c r="CB98" s="48"/>
      <c r="CC98" s="40"/>
      <c r="CD98" s="40"/>
      <c r="CE98" s="48"/>
      <c r="CF98" s="49"/>
    </row>
    <row r="99" spans="1:84" ht="15.75" x14ac:dyDescent="0.25">
      <c r="A99" s="149" t="s">
        <v>158</v>
      </c>
      <c r="B99" s="150" t="s">
        <v>181</v>
      </c>
      <c r="C99" s="25"/>
      <c r="D99" s="26" t="s">
        <v>182</v>
      </c>
      <c r="E99" s="150"/>
      <c r="F99" s="16" t="s">
        <v>13</v>
      </c>
      <c r="G99" s="17" t="s">
        <v>13</v>
      </c>
      <c r="H99" s="17" t="s">
        <v>17</v>
      </c>
      <c r="I99" s="134">
        <v>1</v>
      </c>
      <c r="J99" s="17" t="s">
        <v>79</v>
      </c>
      <c r="K99" s="142">
        <v>46113</v>
      </c>
      <c r="L99" s="142">
        <v>46142</v>
      </c>
      <c r="M99" s="19"/>
      <c r="N99" s="20"/>
      <c r="O99" s="48"/>
      <c r="P99" s="48"/>
      <c r="Q99" s="48"/>
      <c r="R99" s="48"/>
      <c r="S99" s="48"/>
      <c r="T99" s="48"/>
      <c r="U99" s="51"/>
      <c r="V99" s="51"/>
      <c r="W99" s="51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0"/>
      <c r="BV99" s="40"/>
      <c r="BW99" s="48"/>
      <c r="BX99" s="48"/>
      <c r="BY99" s="40"/>
      <c r="BZ99" s="40"/>
      <c r="CA99" s="48"/>
      <c r="CB99" s="48"/>
      <c r="CC99" s="40"/>
      <c r="CD99" s="40"/>
      <c r="CE99" s="48"/>
      <c r="CF99" s="49"/>
    </row>
    <row r="100" spans="1:84" ht="15.75" x14ac:dyDescent="0.25">
      <c r="A100" s="149" t="s">
        <v>158</v>
      </c>
      <c r="B100" s="150" t="s">
        <v>183</v>
      </c>
      <c r="C100" s="25"/>
      <c r="D100" s="26" t="s">
        <v>164</v>
      </c>
      <c r="E100" s="150"/>
      <c r="F100" s="16" t="s">
        <v>13</v>
      </c>
      <c r="G100" s="17" t="s">
        <v>13</v>
      </c>
      <c r="H100" s="17" t="s">
        <v>17</v>
      </c>
      <c r="I100" s="134">
        <v>1</v>
      </c>
      <c r="J100" s="17" t="s">
        <v>79</v>
      </c>
      <c r="K100" s="142">
        <v>46113</v>
      </c>
      <c r="L100" s="142">
        <v>46142</v>
      </c>
      <c r="M100" s="19"/>
      <c r="N100" s="20"/>
      <c r="O100" s="48"/>
      <c r="P100" s="48"/>
      <c r="Q100" s="48"/>
      <c r="R100" s="48"/>
      <c r="S100" s="48"/>
      <c r="T100" s="48"/>
      <c r="U100" s="51"/>
      <c r="V100" s="51"/>
      <c r="W100" s="51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0"/>
      <c r="BV100" s="40"/>
      <c r="BW100" s="48"/>
      <c r="BX100" s="48"/>
      <c r="BY100" s="40"/>
      <c r="BZ100" s="40"/>
      <c r="CA100" s="48"/>
      <c r="CB100" s="48"/>
      <c r="CC100" s="40"/>
      <c r="CD100" s="40"/>
      <c r="CE100" s="48"/>
      <c r="CF100" s="49"/>
    </row>
    <row r="101" spans="1:84" ht="15.75" x14ac:dyDescent="0.25">
      <c r="A101" s="149" t="s">
        <v>158</v>
      </c>
      <c r="B101" s="150" t="s">
        <v>184</v>
      </c>
      <c r="C101" s="25"/>
      <c r="D101" s="26" t="s">
        <v>185</v>
      </c>
      <c r="E101" s="150"/>
      <c r="F101" s="16" t="s">
        <v>13</v>
      </c>
      <c r="G101" s="17" t="s">
        <v>13</v>
      </c>
      <c r="H101" s="17" t="s">
        <v>17</v>
      </c>
      <c r="I101" s="134">
        <v>1</v>
      </c>
      <c r="J101" s="17" t="s">
        <v>79</v>
      </c>
      <c r="K101" s="142">
        <v>46113</v>
      </c>
      <c r="L101" s="142">
        <v>46142</v>
      </c>
      <c r="M101" s="19"/>
      <c r="N101" s="20"/>
      <c r="O101" s="48"/>
      <c r="P101" s="40"/>
      <c r="Q101" s="48"/>
      <c r="R101" s="48"/>
      <c r="S101" s="48"/>
      <c r="T101" s="48"/>
      <c r="U101" s="51"/>
      <c r="V101" s="51"/>
      <c r="W101" s="51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0"/>
      <c r="BV101" s="40"/>
      <c r="BW101" s="48"/>
      <c r="BX101" s="48"/>
      <c r="BY101" s="40"/>
      <c r="BZ101" s="40"/>
      <c r="CA101" s="48"/>
      <c r="CB101" s="48"/>
      <c r="CC101" s="40"/>
      <c r="CD101" s="40"/>
      <c r="CE101" s="48"/>
      <c r="CF101" s="49"/>
    </row>
    <row r="102" spans="1:84" ht="15.75" x14ac:dyDescent="0.25">
      <c r="A102" s="149" t="s">
        <v>158</v>
      </c>
      <c r="B102" s="150" t="s">
        <v>186</v>
      </c>
      <c r="C102" s="25"/>
      <c r="D102" s="26" t="s">
        <v>187</v>
      </c>
      <c r="E102" s="150"/>
      <c r="F102" s="16" t="s">
        <v>13</v>
      </c>
      <c r="G102" s="17" t="s">
        <v>13</v>
      </c>
      <c r="H102" s="17" t="s">
        <v>17</v>
      </c>
      <c r="I102" s="134">
        <v>1</v>
      </c>
      <c r="J102" s="17" t="s">
        <v>79</v>
      </c>
      <c r="K102" s="142">
        <v>46113</v>
      </c>
      <c r="L102" s="142">
        <v>46142</v>
      </c>
      <c r="M102" s="19"/>
      <c r="N102" s="20"/>
      <c r="O102" s="48"/>
      <c r="P102" s="40"/>
      <c r="Q102" s="48"/>
      <c r="R102" s="48"/>
      <c r="S102" s="48"/>
      <c r="T102" s="48"/>
      <c r="U102" s="51"/>
      <c r="V102" s="51"/>
      <c r="W102" s="51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0"/>
      <c r="BV102" s="40"/>
      <c r="BW102" s="48"/>
      <c r="BX102" s="48"/>
      <c r="BY102" s="40"/>
      <c r="BZ102" s="40"/>
      <c r="CA102" s="48"/>
      <c r="CB102" s="48"/>
      <c r="CC102" s="40"/>
      <c r="CD102" s="40"/>
      <c r="CE102" s="48"/>
      <c r="CF102" s="49"/>
    </row>
    <row r="103" spans="1:84" ht="15.75" x14ac:dyDescent="0.25">
      <c r="A103" s="149" t="s">
        <v>158</v>
      </c>
      <c r="B103" s="150" t="s">
        <v>188</v>
      </c>
      <c r="C103" s="25"/>
      <c r="D103" s="15" t="s">
        <v>189</v>
      </c>
      <c r="E103" s="150"/>
      <c r="F103" s="16" t="s">
        <v>13</v>
      </c>
      <c r="G103" s="17" t="s">
        <v>13</v>
      </c>
      <c r="H103" s="16" t="s">
        <v>17</v>
      </c>
      <c r="I103" s="148">
        <f>AVERAGE(I104:I108)</f>
        <v>1</v>
      </c>
      <c r="J103" s="17" t="s">
        <v>79</v>
      </c>
      <c r="K103" s="142">
        <v>46113</v>
      </c>
      <c r="L103" s="142">
        <v>46142</v>
      </c>
      <c r="M103" s="19"/>
      <c r="N103" s="20"/>
      <c r="O103" s="48"/>
      <c r="P103" s="48"/>
      <c r="Q103" s="48"/>
      <c r="R103" s="48"/>
      <c r="S103" s="48"/>
      <c r="T103" s="48"/>
      <c r="U103" s="50"/>
      <c r="V103" s="50"/>
      <c r="W103" s="50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0"/>
      <c r="BV103" s="40"/>
      <c r="BW103" s="48"/>
      <c r="BX103" s="48"/>
      <c r="BY103" s="40"/>
      <c r="BZ103" s="40"/>
      <c r="CA103" s="48"/>
      <c r="CB103" s="48"/>
      <c r="CC103" s="40"/>
      <c r="CD103" s="40"/>
      <c r="CE103" s="48"/>
      <c r="CF103" s="49"/>
    </row>
    <row r="104" spans="1:84" ht="15.75" x14ac:dyDescent="0.25">
      <c r="A104" s="149" t="s">
        <v>158</v>
      </c>
      <c r="B104" s="150" t="s">
        <v>190</v>
      </c>
      <c r="C104" s="25"/>
      <c r="D104" s="26" t="s">
        <v>180</v>
      </c>
      <c r="E104" s="150"/>
      <c r="F104" s="16" t="s">
        <v>13</v>
      </c>
      <c r="G104" s="17" t="s">
        <v>13</v>
      </c>
      <c r="H104" s="17" t="s">
        <v>17</v>
      </c>
      <c r="I104" s="134">
        <v>1</v>
      </c>
      <c r="J104" s="17" t="s">
        <v>79</v>
      </c>
      <c r="K104" s="142">
        <v>46113</v>
      </c>
      <c r="L104" s="142">
        <v>46142</v>
      </c>
      <c r="M104" s="19"/>
      <c r="N104" s="20"/>
      <c r="O104" s="48"/>
      <c r="P104" s="48"/>
      <c r="Q104" s="48"/>
      <c r="R104" s="48"/>
      <c r="S104" s="48"/>
      <c r="T104" s="48"/>
      <c r="U104" s="51"/>
      <c r="V104" s="51"/>
      <c r="W104" s="51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0"/>
      <c r="BV104" s="40"/>
      <c r="BW104" s="48"/>
      <c r="BX104" s="48"/>
      <c r="BY104" s="40"/>
      <c r="BZ104" s="40"/>
      <c r="CA104" s="48"/>
      <c r="CB104" s="48"/>
      <c r="CC104" s="40"/>
      <c r="CD104" s="40"/>
      <c r="CE104" s="48"/>
      <c r="CF104" s="49"/>
    </row>
    <row r="105" spans="1:84" ht="15.75" x14ac:dyDescent="0.25">
      <c r="A105" s="149" t="s">
        <v>158</v>
      </c>
      <c r="B105" s="150" t="s">
        <v>191</v>
      </c>
      <c r="C105" s="25"/>
      <c r="D105" s="26" t="s">
        <v>182</v>
      </c>
      <c r="E105" s="150"/>
      <c r="F105" s="16" t="s">
        <v>13</v>
      </c>
      <c r="G105" s="17" t="s">
        <v>13</v>
      </c>
      <c r="H105" s="17" t="s">
        <v>17</v>
      </c>
      <c r="I105" s="134">
        <v>1</v>
      </c>
      <c r="J105" s="17" t="s">
        <v>79</v>
      </c>
      <c r="K105" s="142">
        <v>46113</v>
      </c>
      <c r="L105" s="142">
        <v>46142</v>
      </c>
      <c r="M105" s="19"/>
      <c r="N105" s="20"/>
      <c r="O105" s="48"/>
      <c r="P105" s="48"/>
      <c r="Q105" s="48"/>
      <c r="R105" s="48"/>
      <c r="S105" s="48"/>
      <c r="T105" s="48"/>
      <c r="U105" s="51"/>
      <c r="V105" s="51"/>
      <c r="W105" s="51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0"/>
      <c r="BV105" s="40"/>
      <c r="BW105" s="48"/>
      <c r="BX105" s="48"/>
      <c r="BY105" s="40"/>
      <c r="BZ105" s="40"/>
      <c r="CA105" s="48"/>
      <c r="CB105" s="48"/>
      <c r="CC105" s="40"/>
      <c r="CD105" s="40"/>
      <c r="CE105" s="48"/>
      <c r="CF105" s="49"/>
    </row>
    <row r="106" spans="1:84" ht="15.75" x14ac:dyDescent="0.25">
      <c r="A106" s="149" t="s">
        <v>158</v>
      </c>
      <c r="B106" s="150" t="s">
        <v>192</v>
      </c>
      <c r="C106" s="25"/>
      <c r="D106" s="26" t="s">
        <v>164</v>
      </c>
      <c r="E106" s="150"/>
      <c r="F106" s="16" t="s">
        <v>13</v>
      </c>
      <c r="G106" s="17" t="s">
        <v>13</v>
      </c>
      <c r="H106" s="17" t="s">
        <v>17</v>
      </c>
      <c r="I106" s="134">
        <v>1</v>
      </c>
      <c r="J106" s="17" t="s">
        <v>79</v>
      </c>
      <c r="K106" s="142">
        <v>46113</v>
      </c>
      <c r="L106" s="142">
        <v>46142</v>
      </c>
      <c r="M106" s="19"/>
      <c r="N106" s="20"/>
      <c r="O106" s="48"/>
      <c r="P106" s="48"/>
      <c r="Q106" s="48"/>
      <c r="R106" s="48"/>
      <c r="S106" s="48"/>
      <c r="T106" s="48"/>
      <c r="U106" s="51"/>
      <c r="V106" s="51"/>
      <c r="W106" s="51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0"/>
      <c r="BV106" s="40"/>
      <c r="BW106" s="48"/>
      <c r="BX106" s="48"/>
      <c r="BY106" s="40"/>
      <c r="BZ106" s="40"/>
      <c r="CA106" s="48"/>
      <c r="CB106" s="48"/>
      <c r="CC106" s="40"/>
      <c r="CD106" s="40"/>
      <c r="CE106" s="48"/>
      <c r="CF106" s="49"/>
    </row>
    <row r="107" spans="1:84" ht="15.75" x14ac:dyDescent="0.25">
      <c r="A107" s="149" t="s">
        <v>158</v>
      </c>
      <c r="B107" s="150" t="s">
        <v>193</v>
      </c>
      <c r="C107" s="25"/>
      <c r="D107" s="26" t="s">
        <v>194</v>
      </c>
      <c r="E107" s="150"/>
      <c r="F107" s="16" t="s">
        <v>13</v>
      </c>
      <c r="G107" s="17" t="s">
        <v>13</v>
      </c>
      <c r="H107" s="17" t="s">
        <v>17</v>
      </c>
      <c r="I107" s="134">
        <v>1</v>
      </c>
      <c r="J107" s="17" t="s">
        <v>79</v>
      </c>
      <c r="K107" s="142">
        <v>46113</v>
      </c>
      <c r="L107" s="142">
        <v>46142</v>
      </c>
      <c r="M107" s="19"/>
      <c r="N107" s="20"/>
      <c r="O107" s="48"/>
      <c r="P107" s="40"/>
      <c r="Q107" s="48"/>
      <c r="R107" s="48"/>
      <c r="S107" s="48"/>
      <c r="T107" s="48"/>
      <c r="U107" s="51"/>
      <c r="V107" s="51"/>
      <c r="W107" s="51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0"/>
      <c r="BV107" s="40"/>
      <c r="BW107" s="48"/>
      <c r="BX107" s="48"/>
      <c r="BY107" s="40"/>
      <c r="BZ107" s="40"/>
      <c r="CA107" s="48"/>
      <c r="CB107" s="48"/>
      <c r="CC107" s="40"/>
      <c r="CD107" s="40"/>
      <c r="CE107" s="48"/>
      <c r="CF107" s="49"/>
    </row>
    <row r="108" spans="1:84" ht="15.75" x14ac:dyDescent="0.25">
      <c r="A108" s="149" t="s">
        <v>158</v>
      </c>
      <c r="B108" s="150" t="s">
        <v>195</v>
      </c>
      <c r="C108" s="25"/>
      <c r="D108" s="26" t="s">
        <v>196</v>
      </c>
      <c r="E108" s="150"/>
      <c r="F108" s="16" t="s">
        <v>13</v>
      </c>
      <c r="G108" s="17" t="s">
        <v>13</v>
      </c>
      <c r="H108" s="17" t="s">
        <v>17</v>
      </c>
      <c r="I108" s="134">
        <v>1</v>
      </c>
      <c r="J108" s="17" t="s">
        <v>79</v>
      </c>
      <c r="K108" s="142">
        <v>46113</v>
      </c>
      <c r="L108" s="142">
        <v>46142</v>
      </c>
      <c r="M108" s="19"/>
      <c r="N108" s="20"/>
      <c r="O108" s="48"/>
      <c r="P108" s="40"/>
      <c r="Q108" s="48"/>
      <c r="R108" s="48"/>
      <c r="S108" s="48"/>
      <c r="T108" s="48"/>
      <c r="U108" s="51"/>
      <c r="V108" s="51"/>
      <c r="W108" s="51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0"/>
      <c r="BV108" s="40"/>
      <c r="BW108" s="48"/>
      <c r="BX108" s="48"/>
      <c r="BY108" s="40"/>
      <c r="BZ108" s="40"/>
      <c r="CA108" s="48"/>
      <c r="CB108" s="48"/>
      <c r="CC108" s="40"/>
      <c r="CD108" s="40"/>
      <c r="CE108" s="48"/>
      <c r="CF108" s="49"/>
    </row>
    <row r="109" spans="1:84" ht="15.75" x14ac:dyDescent="0.25">
      <c r="A109" s="149" t="s">
        <v>158</v>
      </c>
      <c r="B109" s="150" t="s">
        <v>197</v>
      </c>
      <c r="C109" s="25"/>
      <c r="D109" s="15" t="s">
        <v>198</v>
      </c>
      <c r="E109" s="150"/>
      <c r="F109" s="16" t="s">
        <v>13</v>
      </c>
      <c r="G109" s="17" t="s">
        <v>13</v>
      </c>
      <c r="H109" s="16" t="s">
        <v>17</v>
      </c>
      <c r="I109" s="148">
        <f>AVERAGE(I110:I114)</f>
        <v>1</v>
      </c>
      <c r="J109" s="17" t="s">
        <v>79</v>
      </c>
      <c r="K109" s="142">
        <v>46127</v>
      </c>
      <c r="L109" s="142">
        <v>46142</v>
      </c>
      <c r="M109" s="19"/>
      <c r="N109" s="20"/>
      <c r="O109" s="48"/>
      <c r="P109" s="48"/>
      <c r="Q109" s="48"/>
      <c r="R109" s="48"/>
      <c r="S109" s="48"/>
      <c r="T109" s="48"/>
      <c r="U109" s="48"/>
      <c r="V109" s="48"/>
      <c r="W109" s="50"/>
      <c r="X109" s="50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0"/>
      <c r="BV109" s="40"/>
      <c r="BW109" s="48"/>
      <c r="BX109" s="48"/>
      <c r="BY109" s="40"/>
      <c r="BZ109" s="40"/>
      <c r="CA109" s="48"/>
      <c r="CB109" s="48"/>
      <c r="CC109" s="40"/>
      <c r="CD109" s="40"/>
      <c r="CE109" s="48"/>
      <c r="CF109" s="49"/>
    </row>
    <row r="110" spans="1:84" ht="15.75" x14ac:dyDescent="0.25">
      <c r="A110" s="149" t="s">
        <v>158</v>
      </c>
      <c r="B110" s="150" t="s">
        <v>199</v>
      </c>
      <c r="C110" s="25"/>
      <c r="D110" s="26" t="s">
        <v>180</v>
      </c>
      <c r="E110" s="150"/>
      <c r="F110" s="16" t="s">
        <v>13</v>
      </c>
      <c r="G110" s="17" t="s">
        <v>13</v>
      </c>
      <c r="H110" s="17" t="s">
        <v>17</v>
      </c>
      <c r="I110" s="134">
        <v>1</v>
      </c>
      <c r="J110" s="17" t="s">
        <v>79</v>
      </c>
      <c r="K110" s="142">
        <v>46127</v>
      </c>
      <c r="L110" s="142">
        <v>46142</v>
      </c>
      <c r="M110" s="19"/>
      <c r="N110" s="20"/>
      <c r="O110" s="48"/>
      <c r="P110" s="48"/>
      <c r="Q110" s="48"/>
      <c r="R110" s="48"/>
      <c r="S110" s="48"/>
      <c r="T110" s="48"/>
      <c r="U110" s="48"/>
      <c r="V110" s="48"/>
      <c r="W110" s="51"/>
      <c r="X110" s="51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0"/>
      <c r="BV110" s="40"/>
      <c r="BW110" s="48"/>
      <c r="BX110" s="48"/>
      <c r="BY110" s="40"/>
      <c r="BZ110" s="40"/>
      <c r="CA110" s="48"/>
      <c r="CB110" s="48"/>
      <c r="CC110" s="40"/>
      <c r="CD110" s="40"/>
      <c r="CE110" s="48"/>
      <c r="CF110" s="49"/>
    </row>
    <row r="111" spans="1:84" ht="15.75" x14ac:dyDescent="0.25">
      <c r="A111" s="149" t="s">
        <v>158</v>
      </c>
      <c r="B111" s="150" t="s">
        <v>200</v>
      </c>
      <c r="C111" s="25"/>
      <c r="D111" s="26" t="s">
        <v>182</v>
      </c>
      <c r="E111" s="150"/>
      <c r="F111" s="16" t="s">
        <v>13</v>
      </c>
      <c r="G111" s="17" t="s">
        <v>13</v>
      </c>
      <c r="H111" s="17" t="s">
        <v>17</v>
      </c>
      <c r="I111" s="134">
        <v>1</v>
      </c>
      <c r="J111" s="17" t="s">
        <v>79</v>
      </c>
      <c r="K111" s="142">
        <v>46127</v>
      </c>
      <c r="L111" s="142">
        <v>46142</v>
      </c>
      <c r="M111" s="19"/>
      <c r="N111" s="20"/>
      <c r="O111" s="48"/>
      <c r="P111" s="48"/>
      <c r="Q111" s="48"/>
      <c r="R111" s="48"/>
      <c r="S111" s="48"/>
      <c r="T111" s="48"/>
      <c r="U111" s="48"/>
      <c r="V111" s="48"/>
      <c r="W111" s="51"/>
      <c r="X111" s="51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0"/>
      <c r="BV111" s="40"/>
      <c r="BW111" s="48"/>
      <c r="BX111" s="48"/>
      <c r="BY111" s="40"/>
      <c r="BZ111" s="40"/>
      <c r="CA111" s="48"/>
      <c r="CB111" s="48"/>
      <c r="CC111" s="40"/>
      <c r="CD111" s="40"/>
      <c r="CE111" s="48"/>
      <c r="CF111" s="49"/>
    </row>
    <row r="112" spans="1:84" ht="15.75" x14ac:dyDescent="0.25">
      <c r="A112" s="149" t="s">
        <v>158</v>
      </c>
      <c r="B112" s="150" t="s">
        <v>201</v>
      </c>
      <c r="C112" s="25"/>
      <c r="D112" s="26" t="s">
        <v>164</v>
      </c>
      <c r="E112" s="150"/>
      <c r="F112" s="16" t="s">
        <v>13</v>
      </c>
      <c r="G112" s="17" t="s">
        <v>13</v>
      </c>
      <c r="H112" s="17" t="s">
        <v>17</v>
      </c>
      <c r="I112" s="134">
        <v>1</v>
      </c>
      <c r="J112" s="17" t="s">
        <v>79</v>
      </c>
      <c r="K112" s="142">
        <v>46127</v>
      </c>
      <c r="L112" s="142">
        <v>46142</v>
      </c>
      <c r="M112" s="19"/>
      <c r="N112" s="20"/>
      <c r="O112" s="48"/>
      <c r="P112" s="48"/>
      <c r="Q112" s="48"/>
      <c r="R112" s="48"/>
      <c r="S112" s="48"/>
      <c r="T112" s="48"/>
      <c r="U112" s="48"/>
      <c r="V112" s="48"/>
      <c r="W112" s="51"/>
      <c r="X112" s="51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0"/>
      <c r="BV112" s="40"/>
      <c r="BW112" s="48"/>
      <c r="BX112" s="48"/>
      <c r="BY112" s="40"/>
      <c r="BZ112" s="40"/>
      <c r="CA112" s="48"/>
      <c r="CB112" s="48"/>
      <c r="CC112" s="40"/>
      <c r="CD112" s="40"/>
      <c r="CE112" s="48"/>
      <c r="CF112" s="49"/>
    </row>
    <row r="113" spans="1:84" ht="15.75" x14ac:dyDescent="0.25">
      <c r="A113" s="149" t="s">
        <v>158</v>
      </c>
      <c r="B113" s="150" t="s">
        <v>202</v>
      </c>
      <c r="C113" s="25"/>
      <c r="D113" s="26" t="s">
        <v>203</v>
      </c>
      <c r="E113" s="150"/>
      <c r="F113" s="16" t="s">
        <v>13</v>
      </c>
      <c r="G113" s="17" t="s">
        <v>13</v>
      </c>
      <c r="H113" s="17" t="s">
        <v>17</v>
      </c>
      <c r="I113" s="134">
        <v>1</v>
      </c>
      <c r="J113" s="17" t="s">
        <v>79</v>
      </c>
      <c r="K113" s="142">
        <v>46127</v>
      </c>
      <c r="L113" s="142">
        <v>46142</v>
      </c>
      <c r="M113" s="19"/>
      <c r="N113" s="20"/>
      <c r="O113" s="48"/>
      <c r="P113" s="48"/>
      <c r="Q113" s="40"/>
      <c r="R113" s="48"/>
      <c r="S113" s="48"/>
      <c r="T113" s="48"/>
      <c r="U113" s="48"/>
      <c r="V113" s="48"/>
      <c r="W113" s="51"/>
      <c r="X113" s="51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0"/>
      <c r="BV113" s="40"/>
      <c r="BW113" s="48"/>
      <c r="BX113" s="48"/>
      <c r="BY113" s="40"/>
      <c r="BZ113" s="40"/>
      <c r="CA113" s="48"/>
      <c r="CB113" s="48"/>
      <c r="CC113" s="40"/>
      <c r="CD113" s="40"/>
      <c r="CE113" s="48"/>
      <c r="CF113" s="49"/>
    </row>
    <row r="114" spans="1:84" ht="15.75" x14ac:dyDescent="0.25">
      <c r="A114" s="149" t="s">
        <v>158</v>
      </c>
      <c r="B114" s="150" t="s">
        <v>204</v>
      </c>
      <c r="C114" s="25"/>
      <c r="D114" s="26" t="s">
        <v>205</v>
      </c>
      <c r="E114" s="150"/>
      <c r="F114" s="16" t="s">
        <v>13</v>
      </c>
      <c r="G114" s="17" t="s">
        <v>13</v>
      </c>
      <c r="H114" s="17" t="s">
        <v>17</v>
      </c>
      <c r="I114" s="134">
        <v>1</v>
      </c>
      <c r="J114" s="17" t="s">
        <v>79</v>
      </c>
      <c r="K114" s="142">
        <v>46127</v>
      </c>
      <c r="L114" s="142">
        <v>46142</v>
      </c>
      <c r="M114" s="19"/>
      <c r="N114" s="20"/>
      <c r="O114" s="48"/>
      <c r="P114" s="48"/>
      <c r="Q114" s="40"/>
      <c r="R114" s="48"/>
      <c r="S114" s="48"/>
      <c r="T114" s="48"/>
      <c r="U114" s="48"/>
      <c r="V114" s="48"/>
      <c r="W114" s="51"/>
      <c r="X114" s="51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0"/>
      <c r="BV114" s="40"/>
      <c r="BW114" s="48"/>
      <c r="BX114" s="48"/>
      <c r="BY114" s="40"/>
      <c r="BZ114" s="40"/>
      <c r="CA114" s="48"/>
      <c r="CB114" s="48"/>
      <c r="CC114" s="40"/>
      <c r="CD114" s="40"/>
      <c r="CE114" s="48"/>
      <c r="CF114" s="49"/>
    </row>
    <row r="115" spans="1:84" ht="15.75" x14ac:dyDescent="0.25">
      <c r="A115" s="149" t="s">
        <v>158</v>
      </c>
      <c r="B115" s="150" t="s">
        <v>206</v>
      </c>
      <c r="C115" s="25"/>
      <c r="D115" s="15" t="s">
        <v>207</v>
      </c>
      <c r="E115" s="150"/>
      <c r="F115" s="16" t="s">
        <v>13</v>
      </c>
      <c r="G115" s="17" t="s">
        <v>13</v>
      </c>
      <c r="H115" s="16" t="s">
        <v>17</v>
      </c>
      <c r="I115" s="148">
        <f>AVERAGE(I116:I120)</f>
        <v>1</v>
      </c>
      <c r="J115" s="17" t="s">
        <v>79</v>
      </c>
      <c r="K115" s="142">
        <v>46127</v>
      </c>
      <c r="L115" s="142">
        <v>46142</v>
      </c>
      <c r="M115" s="19"/>
      <c r="N115" s="20"/>
      <c r="O115" s="48"/>
      <c r="P115" s="48"/>
      <c r="Q115" s="48"/>
      <c r="R115" s="48"/>
      <c r="S115" s="48"/>
      <c r="T115" s="48"/>
      <c r="U115" s="48"/>
      <c r="V115" s="48"/>
      <c r="W115" s="50"/>
      <c r="X115" s="50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0"/>
      <c r="BV115" s="40"/>
      <c r="BW115" s="48"/>
      <c r="BX115" s="48"/>
      <c r="BY115" s="40"/>
      <c r="BZ115" s="40"/>
      <c r="CA115" s="48"/>
      <c r="CB115" s="48"/>
      <c r="CC115" s="40"/>
      <c r="CD115" s="40"/>
      <c r="CE115" s="48"/>
      <c r="CF115" s="49"/>
    </row>
    <row r="116" spans="1:84" ht="15.75" x14ac:dyDescent="0.25">
      <c r="A116" s="149" t="s">
        <v>158</v>
      </c>
      <c r="B116" s="150" t="s">
        <v>208</v>
      </c>
      <c r="C116" s="25"/>
      <c r="D116" s="26" t="s">
        <v>180</v>
      </c>
      <c r="E116" s="150"/>
      <c r="F116" s="16" t="s">
        <v>13</v>
      </c>
      <c r="G116" s="17" t="s">
        <v>13</v>
      </c>
      <c r="H116" s="17" t="s">
        <v>17</v>
      </c>
      <c r="I116" s="134">
        <v>1</v>
      </c>
      <c r="J116" s="17" t="s">
        <v>79</v>
      </c>
      <c r="K116" s="142">
        <v>46127</v>
      </c>
      <c r="L116" s="142">
        <v>46142</v>
      </c>
      <c r="M116" s="19"/>
      <c r="N116" s="20"/>
      <c r="O116" s="48"/>
      <c r="P116" s="48"/>
      <c r="Q116" s="48"/>
      <c r="R116" s="48"/>
      <c r="S116" s="48"/>
      <c r="T116" s="48"/>
      <c r="U116" s="48"/>
      <c r="V116" s="48"/>
      <c r="W116" s="51"/>
      <c r="X116" s="51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0"/>
      <c r="BV116" s="40"/>
      <c r="BW116" s="48"/>
      <c r="BX116" s="48"/>
      <c r="BY116" s="40"/>
      <c r="BZ116" s="40"/>
      <c r="CA116" s="48"/>
      <c r="CB116" s="48"/>
      <c r="CC116" s="40"/>
      <c r="CD116" s="40"/>
      <c r="CE116" s="48"/>
      <c r="CF116" s="49"/>
    </row>
    <row r="117" spans="1:84" ht="15.75" x14ac:dyDescent="0.25">
      <c r="A117" s="149" t="s">
        <v>158</v>
      </c>
      <c r="B117" s="150" t="s">
        <v>209</v>
      </c>
      <c r="C117" s="25"/>
      <c r="D117" s="26" t="s">
        <v>182</v>
      </c>
      <c r="E117" s="150"/>
      <c r="F117" s="16" t="s">
        <v>13</v>
      </c>
      <c r="G117" s="17" t="s">
        <v>13</v>
      </c>
      <c r="H117" s="17" t="s">
        <v>17</v>
      </c>
      <c r="I117" s="134">
        <v>1</v>
      </c>
      <c r="J117" s="17" t="s">
        <v>79</v>
      </c>
      <c r="K117" s="142">
        <v>46127</v>
      </c>
      <c r="L117" s="142">
        <v>46142</v>
      </c>
      <c r="M117" s="19"/>
      <c r="N117" s="20"/>
      <c r="O117" s="48"/>
      <c r="P117" s="48"/>
      <c r="Q117" s="48"/>
      <c r="R117" s="48"/>
      <c r="S117" s="48"/>
      <c r="T117" s="48"/>
      <c r="U117" s="48"/>
      <c r="V117" s="48"/>
      <c r="W117" s="51"/>
      <c r="X117" s="51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0"/>
      <c r="BV117" s="40"/>
      <c r="BW117" s="48"/>
      <c r="BX117" s="48"/>
      <c r="BY117" s="40"/>
      <c r="BZ117" s="40"/>
      <c r="CA117" s="48"/>
      <c r="CB117" s="48"/>
      <c r="CC117" s="40"/>
      <c r="CD117" s="40"/>
      <c r="CE117" s="48"/>
      <c r="CF117" s="49"/>
    </row>
    <row r="118" spans="1:84" ht="15.75" x14ac:dyDescent="0.25">
      <c r="A118" s="149" t="s">
        <v>158</v>
      </c>
      <c r="B118" s="150" t="s">
        <v>210</v>
      </c>
      <c r="C118" s="25"/>
      <c r="D118" s="26" t="s">
        <v>164</v>
      </c>
      <c r="E118" s="150"/>
      <c r="F118" s="16" t="s">
        <v>13</v>
      </c>
      <c r="G118" s="17" t="s">
        <v>13</v>
      </c>
      <c r="H118" s="17" t="s">
        <v>17</v>
      </c>
      <c r="I118" s="134">
        <v>1</v>
      </c>
      <c r="J118" s="17" t="s">
        <v>79</v>
      </c>
      <c r="K118" s="142">
        <v>46127</v>
      </c>
      <c r="L118" s="142">
        <v>46142</v>
      </c>
      <c r="M118" s="19"/>
      <c r="N118" s="20"/>
      <c r="O118" s="48"/>
      <c r="P118" s="48"/>
      <c r="Q118" s="48"/>
      <c r="R118" s="48"/>
      <c r="S118" s="48"/>
      <c r="T118" s="48"/>
      <c r="U118" s="48"/>
      <c r="V118" s="48"/>
      <c r="W118" s="51"/>
      <c r="X118" s="51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0"/>
      <c r="BV118" s="40"/>
      <c r="BW118" s="48"/>
      <c r="BX118" s="48"/>
      <c r="BY118" s="40"/>
      <c r="BZ118" s="40"/>
      <c r="CA118" s="48"/>
      <c r="CB118" s="48"/>
      <c r="CC118" s="40"/>
      <c r="CD118" s="40"/>
      <c r="CE118" s="48"/>
      <c r="CF118" s="49"/>
    </row>
    <row r="119" spans="1:84" ht="15.75" x14ac:dyDescent="0.25">
      <c r="A119" s="149" t="s">
        <v>158</v>
      </c>
      <c r="B119" s="150" t="s">
        <v>211</v>
      </c>
      <c r="C119" s="25"/>
      <c r="D119" s="26" t="s">
        <v>212</v>
      </c>
      <c r="E119" s="150"/>
      <c r="F119" s="16" t="s">
        <v>13</v>
      </c>
      <c r="G119" s="17" t="s">
        <v>13</v>
      </c>
      <c r="H119" s="17" t="s">
        <v>17</v>
      </c>
      <c r="I119" s="134">
        <v>1</v>
      </c>
      <c r="J119" s="17" t="s">
        <v>79</v>
      </c>
      <c r="K119" s="142">
        <v>46127</v>
      </c>
      <c r="L119" s="142">
        <v>46142</v>
      </c>
      <c r="M119" s="19"/>
      <c r="N119" s="20"/>
      <c r="O119" s="48"/>
      <c r="P119" s="48"/>
      <c r="Q119" s="48"/>
      <c r="R119" s="40"/>
      <c r="S119" s="48"/>
      <c r="T119" s="48"/>
      <c r="U119" s="48"/>
      <c r="V119" s="48"/>
      <c r="W119" s="51"/>
      <c r="X119" s="51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0"/>
      <c r="BV119" s="40"/>
      <c r="BW119" s="48"/>
      <c r="BX119" s="48"/>
      <c r="BY119" s="40"/>
      <c r="BZ119" s="40"/>
      <c r="CA119" s="48"/>
      <c r="CB119" s="48"/>
      <c r="CC119" s="40"/>
      <c r="CD119" s="40"/>
      <c r="CE119" s="48"/>
      <c r="CF119" s="49"/>
    </row>
    <row r="120" spans="1:84" ht="27" x14ac:dyDescent="0.25">
      <c r="A120" s="149" t="s">
        <v>158</v>
      </c>
      <c r="B120" s="150" t="s">
        <v>213</v>
      </c>
      <c r="C120" s="25"/>
      <c r="D120" s="26" t="s">
        <v>214</v>
      </c>
      <c r="E120" s="150"/>
      <c r="F120" s="16" t="s">
        <v>13</v>
      </c>
      <c r="G120" s="17" t="s">
        <v>13</v>
      </c>
      <c r="H120" s="17" t="s">
        <v>17</v>
      </c>
      <c r="I120" s="134">
        <v>1</v>
      </c>
      <c r="J120" s="17" t="s">
        <v>79</v>
      </c>
      <c r="K120" s="142">
        <v>46127</v>
      </c>
      <c r="L120" s="142">
        <v>46142</v>
      </c>
      <c r="M120" s="19"/>
      <c r="N120" s="20"/>
      <c r="O120" s="48"/>
      <c r="P120" s="48"/>
      <c r="Q120" s="48"/>
      <c r="R120" s="40"/>
      <c r="S120" s="48"/>
      <c r="T120" s="48"/>
      <c r="U120" s="48"/>
      <c r="V120" s="48"/>
      <c r="W120" s="51"/>
      <c r="X120" s="51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0"/>
      <c r="BV120" s="40"/>
      <c r="BW120" s="48"/>
      <c r="BX120" s="48"/>
      <c r="BY120" s="40"/>
      <c r="BZ120" s="40"/>
      <c r="CA120" s="48"/>
      <c r="CB120" s="48"/>
      <c r="CC120" s="40"/>
      <c r="CD120" s="40"/>
      <c r="CE120" s="48"/>
      <c r="CF120" s="49"/>
    </row>
    <row r="121" spans="1:84" ht="15.75" x14ac:dyDescent="0.25">
      <c r="A121" s="149" t="s">
        <v>158</v>
      </c>
      <c r="B121" s="150" t="s">
        <v>215</v>
      </c>
      <c r="C121" s="25"/>
      <c r="D121" s="15" t="s">
        <v>216</v>
      </c>
      <c r="E121" s="150"/>
      <c r="F121" s="16" t="s">
        <v>13</v>
      </c>
      <c r="G121" s="17" t="s">
        <v>13</v>
      </c>
      <c r="H121" s="16" t="s">
        <v>17</v>
      </c>
      <c r="I121" s="148">
        <f>AVERAGE(I122:I128)</f>
        <v>1</v>
      </c>
      <c r="J121" s="17" t="s">
        <v>79</v>
      </c>
      <c r="K121" s="142">
        <v>46113</v>
      </c>
      <c r="L121" s="142">
        <v>46127</v>
      </c>
      <c r="M121" s="19"/>
      <c r="N121" s="20"/>
      <c r="O121" s="48"/>
      <c r="P121" s="48"/>
      <c r="Q121" s="48"/>
      <c r="R121" s="48"/>
      <c r="S121" s="48"/>
      <c r="T121" s="48"/>
      <c r="U121" s="50"/>
      <c r="V121" s="50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0"/>
      <c r="BV121" s="40"/>
      <c r="BW121" s="48"/>
      <c r="BX121" s="48"/>
      <c r="BY121" s="40"/>
      <c r="BZ121" s="40"/>
      <c r="CA121" s="48"/>
      <c r="CB121" s="48"/>
      <c r="CC121" s="40"/>
      <c r="CD121" s="40"/>
      <c r="CE121" s="48"/>
      <c r="CF121" s="49"/>
    </row>
    <row r="122" spans="1:84" ht="15.75" x14ac:dyDescent="0.25">
      <c r="A122" s="149" t="s">
        <v>158</v>
      </c>
      <c r="B122" s="150" t="s">
        <v>217</v>
      </c>
      <c r="C122" s="25"/>
      <c r="D122" s="26" t="s">
        <v>180</v>
      </c>
      <c r="E122" s="150"/>
      <c r="F122" s="16" t="s">
        <v>13</v>
      </c>
      <c r="G122" s="17" t="s">
        <v>13</v>
      </c>
      <c r="H122" s="17" t="s">
        <v>17</v>
      </c>
      <c r="I122" s="134">
        <v>1</v>
      </c>
      <c r="J122" s="17" t="s">
        <v>79</v>
      </c>
      <c r="K122" s="142">
        <v>46113</v>
      </c>
      <c r="L122" s="142">
        <v>46127</v>
      </c>
      <c r="M122" s="19"/>
      <c r="N122" s="20"/>
      <c r="O122" s="48"/>
      <c r="P122" s="48"/>
      <c r="Q122" s="48"/>
      <c r="R122" s="48"/>
      <c r="S122" s="48"/>
      <c r="T122" s="48"/>
      <c r="U122" s="51"/>
      <c r="V122" s="51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0"/>
      <c r="BV122" s="40"/>
      <c r="BW122" s="48"/>
      <c r="BX122" s="48"/>
      <c r="BY122" s="40"/>
      <c r="BZ122" s="40"/>
      <c r="CA122" s="48"/>
      <c r="CB122" s="48"/>
      <c r="CC122" s="40"/>
      <c r="CD122" s="40"/>
      <c r="CE122" s="48"/>
      <c r="CF122" s="49"/>
    </row>
    <row r="123" spans="1:84" ht="15.75" x14ac:dyDescent="0.25">
      <c r="A123" s="149" t="s">
        <v>158</v>
      </c>
      <c r="B123" s="150" t="s">
        <v>218</v>
      </c>
      <c r="C123" s="25"/>
      <c r="D123" s="26" t="s">
        <v>219</v>
      </c>
      <c r="E123" s="150"/>
      <c r="F123" s="16" t="s">
        <v>13</v>
      </c>
      <c r="G123" s="17" t="s">
        <v>13</v>
      </c>
      <c r="H123" s="17" t="s">
        <v>17</v>
      </c>
      <c r="I123" s="134">
        <v>1</v>
      </c>
      <c r="J123" s="17" t="s">
        <v>79</v>
      </c>
      <c r="K123" s="142">
        <v>46113</v>
      </c>
      <c r="L123" s="142">
        <v>46127</v>
      </c>
      <c r="M123" s="19"/>
      <c r="N123" s="20"/>
      <c r="O123" s="48"/>
      <c r="P123" s="48"/>
      <c r="Q123" s="48"/>
      <c r="R123" s="48"/>
      <c r="S123" s="48"/>
      <c r="T123" s="48"/>
      <c r="U123" s="51"/>
      <c r="V123" s="51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0"/>
      <c r="BV123" s="40"/>
      <c r="BW123" s="48"/>
      <c r="BX123" s="48"/>
      <c r="BY123" s="40"/>
      <c r="BZ123" s="40"/>
      <c r="CA123" s="48"/>
      <c r="CB123" s="48"/>
      <c r="CC123" s="40"/>
      <c r="CD123" s="40"/>
      <c r="CE123" s="48"/>
      <c r="CF123" s="49"/>
    </row>
    <row r="124" spans="1:84" ht="15.75" x14ac:dyDescent="0.25">
      <c r="A124" s="149" t="s">
        <v>158</v>
      </c>
      <c r="B124" s="150" t="s">
        <v>220</v>
      </c>
      <c r="C124" s="25"/>
      <c r="D124" s="26" t="s">
        <v>221</v>
      </c>
      <c r="E124" s="150"/>
      <c r="F124" s="16" t="s">
        <v>13</v>
      </c>
      <c r="G124" s="17" t="s">
        <v>13</v>
      </c>
      <c r="H124" s="17" t="s">
        <v>17</v>
      </c>
      <c r="I124" s="134">
        <v>1</v>
      </c>
      <c r="J124" s="17" t="s">
        <v>79</v>
      </c>
      <c r="K124" s="142">
        <v>46113</v>
      </c>
      <c r="L124" s="142">
        <v>46127</v>
      </c>
      <c r="M124" s="19"/>
      <c r="N124" s="20"/>
      <c r="O124" s="48"/>
      <c r="P124" s="48"/>
      <c r="Q124" s="48"/>
      <c r="R124" s="48"/>
      <c r="S124" s="48"/>
      <c r="T124" s="48"/>
      <c r="U124" s="51"/>
      <c r="V124" s="51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0"/>
      <c r="BV124" s="40"/>
      <c r="BW124" s="48"/>
      <c r="BX124" s="48"/>
      <c r="BY124" s="40"/>
      <c r="BZ124" s="40"/>
      <c r="CA124" s="48"/>
      <c r="CB124" s="48"/>
      <c r="CC124" s="40"/>
      <c r="CD124" s="40"/>
      <c r="CE124" s="48"/>
      <c r="CF124" s="49"/>
    </row>
    <row r="125" spans="1:84" ht="27" x14ac:dyDescent="0.25">
      <c r="A125" s="149" t="s">
        <v>158</v>
      </c>
      <c r="B125" s="150" t="s">
        <v>222</v>
      </c>
      <c r="C125" s="25"/>
      <c r="D125" s="26" t="s">
        <v>223</v>
      </c>
      <c r="E125" s="150"/>
      <c r="F125" s="16" t="s">
        <v>13</v>
      </c>
      <c r="G125" s="17" t="s">
        <v>13</v>
      </c>
      <c r="H125" s="17" t="s">
        <v>17</v>
      </c>
      <c r="I125" s="134">
        <v>1</v>
      </c>
      <c r="J125" s="17" t="s">
        <v>79</v>
      </c>
      <c r="K125" s="142">
        <v>46113</v>
      </c>
      <c r="L125" s="142">
        <v>46127</v>
      </c>
      <c r="M125" s="19"/>
      <c r="N125" s="20"/>
      <c r="O125" s="48"/>
      <c r="P125" s="48"/>
      <c r="Q125" s="48"/>
      <c r="R125" s="48"/>
      <c r="S125" s="48"/>
      <c r="T125" s="48"/>
      <c r="U125" s="51"/>
      <c r="V125" s="51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0"/>
      <c r="BV125" s="40"/>
      <c r="BW125" s="48"/>
      <c r="BX125" s="48"/>
      <c r="BY125" s="40"/>
      <c r="BZ125" s="40"/>
      <c r="CA125" s="48"/>
      <c r="CB125" s="48"/>
      <c r="CC125" s="40"/>
      <c r="CD125" s="40"/>
      <c r="CE125" s="48"/>
      <c r="CF125" s="49"/>
    </row>
    <row r="126" spans="1:84" ht="15.75" x14ac:dyDescent="0.25">
      <c r="A126" s="149" t="s">
        <v>158</v>
      </c>
      <c r="B126" s="150" t="s">
        <v>224</v>
      </c>
      <c r="C126" s="25"/>
      <c r="D126" s="26" t="s">
        <v>225</v>
      </c>
      <c r="E126" s="150"/>
      <c r="F126" s="16" t="s">
        <v>13</v>
      </c>
      <c r="G126" s="17" t="s">
        <v>13</v>
      </c>
      <c r="H126" s="17" t="s">
        <v>17</v>
      </c>
      <c r="I126" s="134">
        <v>1</v>
      </c>
      <c r="J126" s="17" t="s">
        <v>79</v>
      </c>
      <c r="K126" s="142">
        <v>46113</v>
      </c>
      <c r="L126" s="142">
        <v>46127</v>
      </c>
      <c r="M126" s="19"/>
      <c r="N126" s="20"/>
      <c r="O126" s="48"/>
      <c r="P126" s="48"/>
      <c r="Q126" s="48"/>
      <c r="R126" s="48"/>
      <c r="S126" s="48"/>
      <c r="T126" s="48"/>
      <c r="U126" s="51"/>
      <c r="V126" s="51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0"/>
      <c r="BV126" s="40"/>
      <c r="BW126" s="48"/>
      <c r="BX126" s="48"/>
      <c r="BY126" s="40"/>
      <c r="BZ126" s="40"/>
      <c r="CA126" s="48"/>
      <c r="CB126" s="48"/>
      <c r="CC126" s="40"/>
      <c r="CD126" s="40"/>
      <c r="CE126" s="48"/>
      <c r="CF126" s="49"/>
    </row>
    <row r="127" spans="1:84" ht="15.75" x14ac:dyDescent="0.25">
      <c r="A127" s="149" t="s">
        <v>158</v>
      </c>
      <c r="B127" s="150" t="s">
        <v>226</v>
      </c>
      <c r="C127" s="25"/>
      <c r="D127" s="26" t="s">
        <v>227</v>
      </c>
      <c r="E127" s="150"/>
      <c r="F127" s="16" t="s">
        <v>13</v>
      </c>
      <c r="G127" s="17" t="s">
        <v>13</v>
      </c>
      <c r="H127" s="17" t="s">
        <v>17</v>
      </c>
      <c r="I127" s="134">
        <v>1</v>
      </c>
      <c r="J127" s="17" t="s">
        <v>79</v>
      </c>
      <c r="K127" s="142">
        <v>46113</v>
      </c>
      <c r="L127" s="142">
        <v>46127</v>
      </c>
      <c r="M127" s="19"/>
      <c r="N127" s="20"/>
      <c r="O127" s="48"/>
      <c r="P127" s="48"/>
      <c r="Q127" s="48"/>
      <c r="R127" s="48"/>
      <c r="S127" s="48"/>
      <c r="T127" s="48"/>
      <c r="U127" s="51"/>
      <c r="V127" s="51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0"/>
      <c r="BV127" s="40"/>
      <c r="BW127" s="48"/>
      <c r="BX127" s="48"/>
      <c r="BY127" s="40"/>
      <c r="BZ127" s="40"/>
      <c r="CA127" s="48"/>
      <c r="CB127" s="48"/>
      <c r="CC127" s="40"/>
      <c r="CD127" s="40"/>
      <c r="CE127" s="48"/>
      <c r="CF127" s="49"/>
    </row>
    <row r="128" spans="1:84" ht="15.75" x14ac:dyDescent="0.25">
      <c r="A128" s="149" t="s">
        <v>158</v>
      </c>
      <c r="B128" s="150" t="s">
        <v>228</v>
      </c>
      <c r="C128" s="25"/>
      <c r="D128" s="26" t="s">
        <v>229</v>
      </c>
      <c r="E128" s="150"/>
      <c r="F128" s="16" t="s">
        <v>13</v>
      </c>
      <c r="G128" s="17" t="s">
        <v>13</v>
      </c>
      <c r="H128" s="17" t="s">
        <v>17</v>
      </c>
      <c r="I128" s="134">
        <v>1</v>
      </c>
      <c r="J128" s="17" t="s">
        <v>79</v>
      </c>
      <c r="K128" s="142">
        <v>46113</v>
      </c>
      <c r="L128" s="142">
        <v>46127</v>
      </c>
      <c r="M128" s="19"/>
      <c r="N128" s="20"/>
      <c r="O128" s="48"/>
      <c r="P128" s="48"/>
      <c r="Q128" s="48"/>
      <c r="R128" s="48"/>
      <c r="S128" s="48"/>
      <c r="T128" s="48"/>
      <c r="U128" s="51"/>
      <c r="V128" s="51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0"/>
      <c r="BV128" s="40"/>
      <c r="BW128" s="48"/>
      <c r="BX128" s="48"/>
      <c r="BY128" s="40"/>
      <c r="BZ128" s="40"/>
      <c r="CA128" s="48"/>
      <c r="CB128" s="48"/>
      <c r="CC128" s="40"/>
      <c r="CD128" s="40"/>
      <c r="CE128" s="48"/>
      <c r="CF128" s="49"/>
    </row>
    <row r="129" spans="1:84" ht="15.75" x14ac:dyDescent="0.25">
      <c r="A129" s="149" t="s">
        <v>158</v>
      </c>
      <c r="B129" s="150" t="s">
        <v>230</v>
      </c>
      <c r="C129" s="25"/>
      <c r="D129" s="15" t="s">
        <v>231</v>
      </c>
      <c r="E129" s="150"/>
      <c r="F129" s="16" t="s">
        <v>13</v>
      </c>
      <c r="G129" s="17" t="s">
        <v>13</v>
      </c>
      <c r="H129" s="16" t="s">
        <v>17</v>
      </c>
      <c r="I129" s="148">
        <f>AVERAGE(I130:I138)</f>
        <v>1</v>
      </c>
      <c r="J129" s="17" t="s">
        <v>79</v>
      </c>
      <c r="K129" s="142">
        <v>46068</v>
      </c>
      <c r="L129" s="142">
        <v>46173</v>
      </c>
      <c r="M129" s="19"/>
      <c r="N129" s="2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0"/>
      <c r="BV129" s="40"/>
      <c r="BW129" s="48"/>
      <c r="BX129" s="48"/>
      <c r="BY129" s="40"/>
      <c r="BZ129" s="40"/>
      <c r="CA129" s="48"/>
      <c r="CB129" s="48"/>
      <c r="CC129" s="40"/>
      <c r="CD129" s="40"/>
      <c r="CE129" s="48"/>
      <c r="CF129" s="49"/>
    </row>
    <row r="130" spans="1:84" ht="15.75" x14ac:dyDescent="0.25">
      <c r="A130" s="149" t="s">
        <v>158</v>
      </c>
      <c r="B130" s="150" t="s">
        <v>232</v>
      </c>
      <c r="C130" s="25"/>
      <c r="D130" s="26" t="s">
        <v>180</v>
      </c>
      <c r="E130" s="150"/>
      <c r="F130" s="16" t="s">
        <v>13</v>
      </c>
      <c r="G130" s="17" t="s">
        <v>13</v>
      </c>
      <c r="H130" s="17" t="s">
        <v>17</v>
      </c>
      <c r="I130" s="134">
        <v>1</v>
      </c>
      <c r="J130" s="17" t="s">
        <v>79</v>
      </c>
      <c r="K130" s="142">
        <v>46068</v>
      </c>
      <c r="L130" s="142">
        <v>46173</v>
      </c>
      <c r="M130" s="19"/>
      <c r="N130" s="20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0"/>
      <c r="BV130" s="40"/>
      <c r="BW130" s="48"/>
      <c r="BX130" s="48"/>
      <c r="BY130" s="40"/>
      <c r="BZ130" s="40"/>
      <c r="CA130" s="48"/>
      <c r="CB130" s="48"/>
      <c r="CC130" s="40"/>
      <c r="CD130" s="40"/>
      <c r="CE130" s="48"/>
      <c r="CF130" s="49"/>
    </row>
    <row r="131" spans="1:84" ht="15.75" x14ac:dyDescent="0.25">
      <c r="A131" s="149" t="s">
        <v>158</v>
      </c>
      <c r="B131" s="150" t="s">
        <v>233</v>
      </c>
      <c r="C131" s="25"/>
      <c r="D131" s="26" t="s">
        <v>219</v>
      </c>
      <c r="E131" s="150"/>
      <c r="F131" s="16" t="s">
        <v>13</v>
      </c>
      <c r="G131" s="17" t="s">
        <v>13</v>
      </c>
      <c r="H131" s="17" t="s">
        <v>17</v>
      </c>
      <c r="I131" s="134">
        <v>1</v>
      </c>
      <c r="J131" s="17" t="s">
        <v>79</v>
      </c>
      <c r="K131" s="142">
        <v>46068</v>
      </c>
      <c r="L131" s="142">
        <v>46173</v>
      </c>
      <c r="M131" s="19"/>
      <c r="N131" s="20"/>
      <c r="O131" s="48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0"/>
      <c r="BV131" s="40"/>
      <c r="BW131" s="48"/>
      <c r="BX131" s="48"/>
      <c r="BY131" s="40"/>
      <c r="BZ131" s="40"/>
      <c r="CA131" s="48"/>
      <c r="CB131" s="48"/>
      <c r="CC131" s="40"/>
      <c r="CD131" s="40"/>
      <c r="CE131" s="48"/>
      <c r="CF131" s="49"/>
    </row>
    <row r="132" spans="1:84" ht="15.75" x14ac:dyDescent="0.25">
      <c r="A132" s="149" t="s">
        <v>158</v>
      </c>
      <c r="B132" s="150" t="s">
        <v>234</v>
      </c>
      <c r="C132" s="25"/>
      <c r="D132" s="26" t="s">
        <v>221</v>
      </c>
      <c r="E132" s="150"/>
      <c r="F132" s="16" t="s">
        <v>13</v>
      </c>
      <c r="G132" s="17" t="s">
        <v>13</v>
      </c>
      <c r="H132" s="17" t="s">
        <v>17</v>
      </c>
      <c r="I132" s="134">
        <v>1</v>
      </c>
      <c r="J132" s="17" t="s">
        <v>79</v>
      </c>
      <c r="K132" s="142">
        <v>46096</v>
      </c>
      <c r="L132" s="142">
        <v>46173</v>
      </c>
      <c r="M132" s="19"/>
      <c r="N132" s="20"/>
      <c r="O132" s="48"/>
      <c r="P132" s="48"/>
      <c r="Q132" s="48"/>
      <c r="R132" s="48"/>
      <c r="S132" s="48"/>
      <c r="T132" s="51"/>
      <c r="U132" s="51"/>
      <c r="V132" s="51"/>
      <c r="W132" s="51"/>
      <c r="X132" s="51"/>
      <c r="Y132" s="51"/>
      <c r="Z132" s="51"/>
      <c r="AA132" s="51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  <c r="BQ132" s="48"/>
      <c r="BR132" s="48"/>
      <c r="BS132" s="48"/>
      <c r="BT132" s="48"/>
      <c r="BU132" s="40"/>
      <c r="BV132" s="40"/>
      <c r="BW132" s="48"/>
      <c r="BX132" s="48"/>
      <c r="BY132" s="40"/>
      <c r="BZ132" s="40"/>
      <c r="CA132" s="48"/>
      <c r="CB132" s="48"/>
      <c r="CC132" s="40"/>
      <c r="CD132" s="40"/>
      <c r="CE132" s="48"/>
      <c r="CF132" s="49"/>
    </row>
    <row r="133" spans="1:84" ht="27" x14ac:dyDescent="0.25">
      <c r="A133" s="149" t="s">
        <v>158</v>
      </c>
      <c r="B133" s="150" t="s">
        <v>235</v>
      </c>
      <c r="C133" s="25"/>
      <c r="D133" s="26" t="s">
        <v>236</v>
      </c>
      <c r="E133" s="150"/>
      <c r="F133" s="16" t="s">
        <v>13</v>
      </c>
      <c r="G133" s="17" t="s">
        <v>13</v>
      </c>
      <c r="H133" s="17" t="s">
        <v>17</v>
      </c>
      <c r="I133" s="134">
        <v>1</v>
      </c>
      <c r="J133" s="17" t="s">
        <v>79</v>
      </c>
      <c r="K133" s="142">
        <v>46068</v>
      </c>
      <c r="L133" s="142">
        <v>46173</v>
      </c>
      <c r="M133" s="19"/>
      <c r="N133" s="20"/>
      <c r="O133" s="48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0"/>
      <c r="BV133" s="40"/>
      <c r="BW133" s="48"/>
      <c r="BX133" s="48"/>
      <c r="BY133" s="40"/>
      <c r="BZ133" s="40"/>
      <c r="CA133" s="48"/>
      <c r="CB133" s="48"/>
      <c r="CC133" s="40"/>
      <c r="CD133" s="40"/>
      <c r="CE133" s="48"/>
      <c r="CF133" s="49"/>
    </row>
    <row r="134" spans="1:84" ht="15.75" x14ac:dyDescent="0.25">
      <c r="A134" s="149" t="s">
        <v>158</v>
      </c>
      <c r="B134" s="150" t="s">
        <v>237</v>
      </c>
      <c r="C134" s="25"/>
      <c r="D134" s="26" t="s">
        <v>238</v>
      </c>
      <c r="E134" s="150"/>
      <c r="F134" s="16" t="s">
        <v>13</v>
      </c>
      <c r="G134" s="17" t="s">
        <v>13</v>
      </c>
      <c r="H134" s="17" t="s">
        <v>17</v>
      </c>
      <c r="I134" s="134">
        <v>1</v>
      </c>
      <c r="J134" s="17" t="s">
        <v>79</v>
      </c>
      <c r="K134" s="142">
        <v>46113</v>
      </c>
      <c r="L134" s="142">
        <v>46173</v>
      </c>
      <c r="M134" s="19"/>
      <c r="N134" s="20"/>
      <c r="O134" s="48"/>
      <c r="P134" s="48"/>
      <c r="Q134" s="48"/>
      <c r="R134" s="48"/>
      <c r="S134" s="48"/>
      <c r="T134" s="48"/>
      <c r="U134" s="48"/>
      <c r="V134" s="51"/>
      <c r="W134" s="51"/>
      <c r="X134" s="51"/>
      <c r="Y134" s="51"/>
      <c r="Z134" s="51"/>
      <c r="AA134" s="51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0"/>
      <c r="BV134" s="40"/>
      <c r="BW134" s="48"/>
      <c r="BX134" s="48"/>
      <c r="BY134" s="40"/>
      <c r="BZ134" s="40"/>
      <c r="CA134" s="48"/>
      <c r="CB134" s="48"/>
      <c r="CC134" s="40"/>
      <c r="CD134" s="40"/>
      <c r="CE134" s="48"/>
      <c r="CF134" s="49"/>
    </row>
    <row r="135" spans="1:84" ht="15.75" x14ac:dyDescent="0.25">
      <c r="A135" s="149" t="s">
        <v>158</v>
      </c>
      <c r="B135" s="150" t="s">
        <v>239</v>
      </c>
      <c r="C135" s="25"/>
      <c r="D135" s="26" t="s">
        <v>240</v>
      </c>
      <c r="E135" s="150"/>
      <c r="F135" s="16" t="s">
        <v>13</v>
      </c>
      <c r="G135" s="17" t="s">
        <v>13</v>
      </c>
      <c r="H135" s="17" t="s">
        <v>17</v>
      </c>
      <c r="I135" s="134">
        <v>1</v>
      </c>
      <c r="J135" s="17" t="s">
        <v>79</v>
      </c>
      <c r="K135" s="142">
        <v>46113</v>
      </c>
      <c r="L135" s="142">
        <v>46173</v>
      </c>
      <c r="M135" s="19"/>
      <c r="N135" s="20"/>
      <c r="O135" s="48"/>
      <c r="P135" s="48"/>
      <c r="Q135" s="48"/>
      <c r="R135" s="48"/>
      <c r="S135" s="48"/>
      <c r="T135" s="48"/>
      <c r="U135" s="48"/>
      <c r="V135" s="51"/>
      <c r="W135" s="51"/>
      <c r="X135" s="51"/>
      <c r="Y135" s="51"/>
      <c r="Z135" s="51"/>
      <c r="AA135" s="51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48"/>
      <c r="BL135" s="48"/>
      <c r="BM135" s="48"/>
      <c r="BN135" s="48"/>
      <c r="BO135" s="48"/>
      <c r="BP135" s="48"/>
      <c r="BQ135" s="48"/>
      <c r="BR135" s="48"/>
      <c r="BS135" s="48"/>
      <c r="BT135" s="48"/>
      <c r="BU135" s="40"/>
      <c r="BV135" s="40"/>
      <c r="BW135" s="48"/>
      <c r="BX135" s="48"/>
      <c r="BY135" s="40"/>
      <c r="BZ135" s="40"/>
      <c r="CA135" s="48"/>
      <c r="CB135" s="48"/>
      <c r="CC135" s="40"/>
      <c r="CD135" s="40"/>
      <c r="CE135" s="48"/>
      <c r="CF135" s="49"/>
    </row>
    <row r="136" spans="1:84" ht="15.75" x14ac:dyDescent="0.25">
      <c r="A136" s="149" t="s">
        <v>158</v>
      </c>
      <c r="B136" s="150" t="s">
        <v>241</v>
      </c>
      <c r="C136" s="25"/>
      <c r="D136" s="26" t="s">
        <v>242</v>
      </c>
      <c r="E136" s="150"/>
      <c r="F136" s="16" t="s">
        <v>13</v>
      </c>
      <c r="G136" s="17" t="s">
        <v>13</v>
      </c>
      <c r="H136" s="17" t="s">
        <v>17</v>
      </c>
      <c r="I136" s="134">
        <v>1</v>
      </c>
      <c r="J136" s="17" t="s">
        <v>79</v>
      </c>
      <c r="K136" s="142">
        <v>46068</v>
      </c>
      <c r="L136" s="142">
        <v>46173</v>
      </c>
      <c r="M136" s="19"/>
      <c r="N136" s="20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0"/>
      <c r="BV136" s="40"/>
      <c r="BW136" s="48"/>
      <c r="BX136" s="48"/>
      <c r="BY136" s="40"/>
      <c r="BZ136" s="40"/>
      <c r="CA136" s="48"/>
      <c r="CB136" s="48"/>
      <c r="CC136" s="40"/>
      <c r="CD136" s="40"/>
      <c r="CE136" s="48"/>
      <c r="CF136" s="49"/>
    </row>
    <row r="137" spans="1:84" ht="15.75" x14ac:dyDescent="0.25">
      <c r="A137" s="149" t="s">
        <v>158</v>
      </c>
      <c r="B137" s="150" t="s">
        <v>243</v>
      </c>
      <c r="C137" s="25"/>
      <c r="D137" s="26" t="s">
        <v>244</v>
      </c>
      <c r="E137" s="150"/>
      <c r="F137" s="16" t="s">
        <v>13</v>
      </c>
      <c r="G137" s="17" t="s">
        <v>13</v>
      </c>
      <c r="H137" s="17" t="s">
        <v>17</v>
      </c>
      <c r="I137" s="134">
        <v>1</v>
      </c>
      <c r="J137" s="17" t="s">
        <v>79</v>
      </c>
      <c r="K137" s="142">
        <v>46068</v>
      </c>
      <c r="L137" s="142">
        <v>46173</v>
      </c>
      <c r="M137" s="19"/>
      <c r="N137" s="20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0"/>
      <c r="BV137" s="40"/>
      <c r="BW137" s="48"/>
      <c r="BX137" s="48"/>
      <c r="BY137" s="40"/>
      <c r="BZ137" s="40"/>
      <c r="CA137" s="48"/>
      <c r="CB137" s="48"/>
      <c r="CC137" s="40"/>
      <c r="CD137" s="40"/>
      <c r="CE137" s="48"/>
      <c r="CF137" s="49"/>
    </row>
    <row r="138" spans="1:84" ht="15.75" x14ac:dyDescent="0.25">
      <c r="A138" s="149" t="s">
        <v>158</v>
      </c>
      <c r="B138" s="150" t="s">
        <v>245</v>
      </c>
      <c r="C138" s="25"/>
      <c r="D138" s="26" t="s">
        <v>229</v>
      </c>
      <c r="E138" s="150"/>
      <c r="F138" s="16" t="s">
        <v>13</v>
      </c>
      <c r="G138" s="17" t="s">
        <v>13</v>
      </c>
      <c r="H138" s="17" t="s">
        <v>17</v>
      </c>
      <c r="I138" s="134">
        <v>1</v>
      </c>
      <c r="J138" s="17" t="s">
        <v>79</v>
      </c>
      <c r="K138" s="142">
        <v>46143</v>
      </c>
      <c r="L138" s="142">
        <v>46173</v>
      </c>
      <c r="M138" s="19"/>
      <c r="N138" s="20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51"/>
      <c r="Z138" s="51"/>
      <c r="AA138" s="51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48"/>
      <c r="BL138" s="48"/>
      <c r="BM138" s="48"/>
      <c r="BN138" s="48"/>
      <c r="BO138" s="48"/>
      <c r="BP138" s="48"/>
      <c r="BQ138" s="48"/>
      <c r="BR138" s="48"/>
      <c r="BS138" s="48"/>
      <c r="BT138" s="48"/>
      <c r="BU138" s="40"/>
      <c r="BV138" s="40"/>
      <c r="BW138" s="48"/>
      <c r="BX138" s="48"/>
      <c r="BY138" s="40"/>
      <c r="BZ138" s="40"/>
      <c r="CA138" s="48"/>
      <c r="CB138" s="48"/>
      <c r="CC138" s="40"/>
      <c r="CD138" s="40"/>
      <c r="CE138" s="48"/>
      <c r="CF138" s="49"/>
    </row>
    <row r="139" spans="1:84" ht="15.75" x14ac:dyDescent="0.25">
      <c r="A139" s="149" t="s">
        <v>158</v>
      </c>
      <c r="B139" s="150" t="s">
        <v>246</v>
      </c>
      <c r="C139" s="25"/>
      <c r="D139" s="15" t="s">
        <v>247</v>
      </c>
      <c r="E139" s="150"/>
      <c r="F139" s="16" t="s">
        <v>13</v>
      </c>
      <c r="G139" s="17" t="s">
        <v>13</v>
      </c>
      <c r="H139" s="16" t="s">
        <v>17</v>
      </c>
      <c r="I139" s="148">
        <f>AVERAGE(I140:I143)</f>
        <v>1</v>
      </c>
      <c r="J139" s="17" t="s">
        <v>79</v>
      </c>
      <c r="K139" s="142">
        <v>46127</v>
      </c>
      <c r="L139" s="142">
        <v>46173</v>
      </c>
      <c r="M139" s="19"/>
      <c r="N139" s="20"/>
      <c r="O139" s="48"/>
      <c r="P139" s="48"/>
      <c r="Q139" s="48"/>
      <c r="R139" s="48"/>
      <c r="S139" s="48"/>
      <c r="T139" s="48"/>
      <c r="U139" s="48"/>
      <c r="V139" s="48"/>
      <c r="W139" s="48"/>
      <c r="X139" s="50"/>
      <c r="Y139" s="50"/>
      <c r="Z139" s="50"/>
      <c r="AA139" s="50"/>
      <c r="AB139" s="50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  <c r="BK139" s="48"/>
      <c r="BL139" s="48"/>
      <c r="BM139" s="48"/>
      <c r="BN139" s="48"/>
      <c r="BO139" s="48"/>
      <c r="BP139" s="48"/>
      <c r="BQ139" s="48"/>
      <c r="BR139" s="48"/>
      <c r="BS139" s="48"/>
      <c r="BT139" s="48"/>
      <c r="BU139" s="40"/>
      <c r="BV139" s="40"/>
      <c r="BW139" s="48"/>
      <c r="BX139" s="48"/>
      <c r="BY139" s="40"/>
      <c r="BZ139" s="40"/>
      <c r="CA139" s="48"/>
      <c r="CB139" s="48"/>
      <c r="CC139" s="40"/>
      <c r="CD139" s="40"/>
      <c r="CE139" s="48"/>
      <c r="CF139" s="49"/>
    </row>
    <row r="140" spans="1:84" ht="15.75" x14ac:dyDescent="0.25">
      <c r="A140" s="149" t="s">
        <v>158</v>
      </c>
      <c r="B140" s="150" t="s">
        <v>248</v>
      </c>
      <c r="C140" s="25"/>
      <c r="D140" s="26" t="s">
        <v>180</v>
      </c>
      <c r="E140" s="150"/>
      <c r="F140" s="16" t="s">
        <v>13</v>
      </c>
      <c r="G140" s="17" t="s">
        <v>13</v>
      </c>
      <c r="H140" s="17" t="s">
        <v>17</v>
      </c>
      <c r="I140" s="134">
        <v>1</v>
      </c>
      <c r="J140" s="17" t="s">
        <v>79</v>
      </c>
      <c r="K140" s="142">
        <v>46127</v>
      </c>
      <c r="L140" s="142">
        <v>46173</v>
      </c>
      <c r="M140" s="19"/>
      <c r="N140" s="20"/>
      <c r="O140" s="48"/>
      <c r="P140" s="48"/>
      <c r="Q140" s="48"/>
      <c r="R140" s="48"/>
      <c r="S140" s="48"/>
      <c r="T140" s="48"/>
      <c r="U140" s="48"/>
      <c r="V140" s="48"/>
      <c r="W140" s="48"/>
      <c r="X140" s="51"/>
      <c r="Y140" s="51"/>
      <c r="Z140" s="51"/>
      <c r="AA140" s="51"/>
      <c r="AB140" s="51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48"/>
      <c r="BL140" s="48"/>
      <c r="BM140" s="48"/>
      <c r="BN140" s="48"/>
      <c r="BO140" s="48"/>
      <c r="BP140" s="48"/>
      <c r="BQ140" s="48"/>
      <c r="BR140" s="48"/>
      <c r="BS140" s="48"/>
      <c r="BT140" s="48"/>
      <c r="BU140" s="40"/>
      <c r="BV140" s="40"/>
      <c r="BW140" s="48"/>
      <c r="BX140" s="48"/>
      <c r="BY140" s="40"/>
      <c r="BZ140" s="40"/>
      <c r="CA140" s="48"/>
      <c r="CB140" s="48"/>
      <c r="CC140" s="40"/>
      <c r="CD140" s="40"/>
      <c r="CE140" s="48"/>
      <c r="CF140" s="49"/>
    </row>
    <row r="141" spans="1:84" ht="15.75" x14ac:dyDescent="0.25">
      <c r="A141" s="149" t="s">
        <v>158</v>
      </c>
      <c r="B141" s="150" t="s">
        <v>249</v>
      </c>
      <c r="C141" s="25"/>
      <c r="D141" s="26" t="s">
        <v>250</v>
      </c>
      <c r="E141" s="150"/>
      <c r="F141" s="16" t="s">
        <v>13</v>
      </c>
      <c r="G141" s="17" t="s">
        <v>13</v>
      </c>
      <c r="H141" s="17" t="s">
        <v>17</v>
      </c>
      <c r="I141" s="134">
        <v>1</v>
      </c>
      <c r="J141" s="17" t="s">
        <v>79</v>
      </c>
      <c r="K141" s="142">
        <v>46127</v>
      </c>
      <c r="L141" s="142">
        <v>46173</v>
      </c>
      <c r="M141" s="19"/>
      <c r="N141" s="20"/>
      <c r="O141" s="48"/>
      <c r="P141" s="48"/>
      <c r="Q141" s="48"/>
      <c r="R141" s="48"/>
      <c r="S141" s="48"/>
      <c r="T141" s="48"/>
      <c r="U141" s="48"/>
      <c r="V141" s="48"/>
      <c r="W141" s="48"/>
      <c r="X141" s="51"/>
      <c r="Y141" s="51"/>
      <c r="Z141" s="51"/>
      <c r="AA141" s="51"/>
      <c r="AB141" s="51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48"/>
      <c r="BL141" s="48"/>
      <c r="BM141" s="48"/>
      <c r="BN141" s="48"/>
      <c r="BO141" s="48"/>
      <c r="BP141" s="48"/>
      <c r="BQ141" s="48"/>
      <c r="BR141" s="48"/>
      <c r="BS141" s="48"/>
      <c r="BT141" s="48"/>
      <c r="BU141" s="40"/>
      <c r="BV141" s="40"/>
      <c r="BW141" s="48"/>
      <c r="BX141" s="48"/>
      <c r="BY141" s="40"/>
      <c r="BZ141" s="40"/>
      <c r="CA141" s="48"/>
      <c r="CB141" s="48"/>
      <c r="CC141" s="40"/>
      <c r="CD141" s="40"/>
      <c r="CE141" s="48"/>
      <c r="CF141" s="49"/>
    </row>
    <row r="142" spans="1:84" ht="15.75" x14ac:dyDescent="0.25">
      <c r="A142" s="149" t="s">
        <v>158</v>
      </c>
      <c r="B142" s="150" t="s">
        <v>251</v>
      </c>
      <c r="C142" s="25"/>
      <c r="D142" s="26" t="s">
        <v>252</v>
      </c>
      <c r="E142" s="150"/>
      <c r="F142" s="16" t="s">
        <v>13</v>
      </c>
      <c r="G142" s="17" t="s">
        <v>13</v>
      </c>
      <c r="H142" s="17" t="s">
        <v>17</v>
      </c>
      <c r="I142" s="134">
        <v>1</v>
      </c>
      <c r="J142" s="17" t="s">
        <v>79</v>
      </c>
      <c r="K142" s="142">
        <v>46127</v>
      </c>
      <c r="L142" s="142">
        <v>46173</v>
      </c>
      <c r="M142" s="19"/>
      <c r="N142" s="20"/>
      <c r="O142" s="48"/>
      <c r="P142" s="48"/>
      <c r="Q142" s="48"/>
      <c r="R142" s="48"/>
      <c r="S142" s="48"/>
      <c r="T142" s="48"/>
      <c r="U142" s="48"/>
      <c r="V142" s="48"/>
      <c r="W142" s="48"/>
      <c r="X142" s="51"/>
      <c r="Y142" s="51"/>
      <c r="Z142" s="51"/>
      <c r="AA142" s="51"/>
      <c r="AB142" s="51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8"/>
      <c r="BN142" s="48"/>
      <c r="BO142" s="48"/>
      <c r="BP142" s="48"/>
      <c r="BQ142" s="48"/>
      <c r="BR142" s="48"/>
      <c r="BS142" s="48"/>
      <c r="BT142" s="48"/>
      <c r="BU142" s="40"/>
      <c r="BV142" s="40"/>
      <c r="BW142" s="48"/>
      <c r="BX142" s="48"/>
      <c r="BY142" s="40"/>
      <c r="BZ142" s="40"/>
      <c r="CA142" s="48"/>
      <c r="CB142" s="48"/>
      <c r="CC142" s="40"/>
      <c r="CD142" s="40"/>
      <c r="CE142" s="48"/>
      <c r="CF142" s="49"/>
    </row>
    <row r="143" spans="1:84" ht="15.75" x14ac:dyDescent="0.25">
      <c r="A143" s="149" t="s">
        <v>158</v>
      </c>
      <c r="B143" s="150" t="s">
        <v>253</v>
      </c>
      <c r="C143" s="25"/>
      <c r="D143" s="26" t="s">
        <v>254</v>
      </c>
      <c r="E143" s="150"/>
      <c r="F143" s="16" t="s">
        <v>13</v>
      </c>
      <c r="G143" s="17" t="s">
        <v>13</v>
      </c>
      <c r="H143" s="17" t="s">
        <v>17</v>
      </c>
      <c r="I143" s="134">
        <v>1</v>
      </c>
      <c r="J143" s="17" t="s">
        <v>79</v>
      </c>
      <c r="K143" s="142">
        <v>46127</v>
      </c>
      <c r="L143" s="142">
        <v>46173</v>
      </c>
      <c r="M143" s="19"/>
      <c r="N143" s="20"/>
      <c r="O143" s="48"/>
      <c r="P143" s="48"/>
      <c r="Q143" s="48"/>
      <c r="R143" s="48"/>
      <c r="S143" s="48"/>
      <c r="T143" s="48"/>
      <c r="U143" s="48"/>
      <c r="V143" s="48"/>
      <c r="W143" s="48"/>
      <c r="X143" s="51"/>
      <c r="Y143" s="51"/>
      <c r="Z143" s="51"/>
      <c r="AA143" s="51"/>
      <c r="AB143" s="51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48"/>
      <c r="BL143" s="48"/>
      <c r="BM143" s="48"/>
      <c r="BN143" s="48"/>
      <c r="BO143" s="48"/>
      <c r="BP143" s="48"/>
      <c r="BQ143" s="48"/>
      <c r="BR143" s="48"/>
      <c r="BS143" s="48"/>
      <c r="BT143" s="48"/>
      <c r="BU143" s="40"/>
      <c r="BV143" s="40"/>
      <c r="BW143" s="48"/>
      <c r="BX143" s="48"/>
      <c r="BY143" s="40"/>
      <c r="BZ143" s="40"/>
      <c r="CA143" s="48"/>
      <c r="CB143" s="48"/>
      <c r="CC143" s="40"/>
      <c r="CD143" s="40"/>
      <c r="CE143" s="48"/>
      <c r="CF143" s="49"/>
    </row>
    <row r="144" spans="1:84" ht="15.75" x14ac:dyDescent="0.25">
      <c r="A144" s="149" t="s">
        <v>158</v>
      </c>
      <c r="B144" s="150" t="s">
        <v>255</v>
      </c>
      <c r="C144" s="25"/>
      <c r="D144" s="15" t="s">
        <v>256</v>
      </c>
      <c r="E144" s="150"/>
      <c r="F144" s="16" t="s">
        <v>13</v>
      </c>
      <c r="G144" s="17" t="s">
        <v>13</v>
      </c>
      <c r="H144" s="16" t="s">
        <v>17</v>
      </c>
      <c r="I144" s="148">
        <f>AVERAGE(I145:I148)</f>
        <v>1</v>
      </c>
      <c r="J144" s="17" t="s">
        <v>79</v>
      </c>
      <c r="K144" s="142">
        <v>46127</v>
      </c>
      <c r="L144" s="142">
        <v>46173</v>
      </c>
      <c r="M144" s="19"/>
      <c r="N144" s="20"/>
      <c r="O144" s="48"/>
      <c r="P144" s="48"/>
      <c r="Q144" s="48"/>
      <c r="R144" s="48"/>
      <c r="S144" s="48"/>
      <c r="T144" s="48"/>
      <c r="U144" s="48"/>
      <c r="V144" s="48"/>
      <c r="W144" s="48"/>
      <c r="X144" s="51"/>
      <c r="Y144" s="51"/>
      <c r="Z144" s="51"/>
      <c r="AA144" s="51"/>
      <c r="AB144" s="51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48"/>
      <c r="BL144" s="48"/>
      <c r="BM144" s="48"/>
      <c r="BN144" s="48"/>
      <c r="BO144" s="48"/>
      <c r="BP144" s="48"/>
      <c r="BQ144" s="48"/>
      <c r="BR144" s="48"/>
      <c r="BS144" s="48"/>
      <c r="BT144" s="48"/>
      <c r="BU144" s="40"/>
      <c r="BV144" s="40"/>
      <c r="BW144" s="48"/>
      <c r="BX144" s="48"/>
      <c r="BY144" s="40"/>
      <c r="BZ144" s="40"/>
      <c r="CA144" s="48"/>
      <c r="CB144" s="48"/>
      <c r="CC144" s="40"/>
      <c r="CD144" s="40"/>
      <c r="CE144" s="48"/>
      <c r="CF144" s="49"/>
    </row>
    <row r="145" spans="1:84" ht="15.75" x14ac:dyDescent="0.25">
      <c r="A145" s="149" t="s">
        <v>158</v>
      </c>
      <c r="B145" s="150" t="s">
        <v>257</v>
      </c>
      <c r="C145" s="25"/>
      <c r="D145" s="26" t="s">
        <v>180</v>
      </c>
      <c r="E145" s="150"/>
      <c r="F145" s="16" t="s">
        <v>13</v>
      </c>
      <c r="G145" s="17" t="s">
        <v>13</v>
      </c>
      <c r="H145" s="17" t="s">
        <v>17</v>
      </c>
      <c r="I145" s="134">
        <v>1</v>
      </c>
      <c r="J145" s="17" t="s">
        <v>79</v>
      </c>
      <c r="K145" s="142">
        <v>46143</v>
      </c>
      <c r="L145" s="142">
        <v>46173</v>
      </c>
      <c r="M145" s="19"/>
      <c r="N145" s="20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50"/>
      <c r="Z145" s="50"/>
      <c r="AA145" s="50"/>
      <c r="AB145" s="50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48"/>
      <c r="BL145" s="48"/>
      <c r="BM145" s="48"/>
      <c r="BN145" s="48"/>
      <c r="BO145" s="48"/>
      <c r="BP145" s="48"/>
      <c r="BQ145" s="48"/>
      <c r="BR145" s="48"/>
      <c r="BS145" s="48"/>
      <c r="BT145" s="48"/>
      <c r="BU145" s="40"/>
      <c r="BV145" s="40"/>
      <c r="BW145" s="48"/>
      <c r="BX145" s="48"/>
      <c r="BY145" s="40"/>
      <c r="BZ145" s="40"/>
      <c r="CA145" s="48"/>
      <c r="CB145" s="48"/>
      <c r="CC145" s="40"/>
      <c r="CD145" s="40"/>
      <c r="CE145" s="48"/>
      <c r="CF145" s="49"/>
    </row>
    <row r="146" spans="1:84" ht="15.75" x14ac:dyDescent="0.25">
      <c r="A146" s="149" t="s">
        <v>158</v>
      </c>
      <c r="B146" s="150" t="s">
        <v>258</v>
      </c>
      <c r="C146" s="25"/>
      <c r="D146" s="26" t="s">
        <v>250</v>
      </c>
      <c r="E146" s="150"/>
      <c r="F146" s="16" t="s">
        <v>13</v>
      </c>
      <c r="G146" s="17" t="s">
        <v>13</v>
      </c>
      <c r="H146" s="17" t="s">
        <v>17</v>
      </c>
      <c r="I146" s="134">
        <v>1</v>
      </c>
      <c r="J146" s="17" t="s">
        <v>79</v>
      </c>
      <c r="K146" s="142">
        <v>46143</v>
      </c>
      <c r="L146" s="142">
        <v>46173</v>
      </c>
      <c r="M146" s="19"/>
      <c r="N146" s="20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51"/>
      <c r="Z146" s="51"/>
      <c r="AA146" s="51"/>
      <c r="AB146" s="51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8"/>
      <c r="BK146" s="48"/>
      <c r="BL146" s="48"/>
      <c r="BM146" s="48"/>
      <c r="BN146" s="48"/>
      <c r="BO146" s="48"/>
      <c r="BP146" s="48"/>
      <c r="BQ146" s="48"/>
      <c r="BR146" s="48"/>
      <c r="BS146" s="48"/>
      <c r="BT146" s="48"/>
      <c r="BU146" s="40"/>
      <c r="BV146" s="40"/>
      <c r="BW146" s="48"/>
      <c r="BX146" s="48"/>
      <c r="BY146" s="40"/>
      <c r="BZ146" s="40"/>
      <c r="CA146" s="48"/>
      <c r="CB146" s="48"/>
      <c r="CC146" s="40"/>
      <c r="CD146" s="40"/>
      <c r="CE146" s="48"/>
      <c r="CF146" s="49"/>
    </row>
    <row r="147" spans="1:84" ht="15.75" x14ac:dyDescent="0.25">
      <c r="A147" s="149" t="s">
        <v>158</v>
      </c>
      <c r="B147" s="150" t="s">
        <v>259</v>
      </c>
      <c r="C147" s="25"/>
      <c r="D147" s="26" t="s">
        <v>260</v>
      </c>
      <c r="E147" s="150"/>
      <c r="F147" s="16" t="s">
        <v>13</v>
      </c>
      <c r="G147" s="17" t="s">
        <v>13</v>
      </c>
      <c r="H147" s="17" t="s">
        <v>17</v>
      </c>
      <c r="I147" s="134">
        <v>1</v>
      </c>
      <c r="J147" s="17" t="s">
        <v>79</v>
      </c>
      <c r="K147" s="142">
        <v>46143</v>
      </c>
      <c r="L147" s="142">
        <v>46173</v>
      </c>
      <c r="M147" s="19"/>
      <c r="N147" s="20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51"/>
      <c r="Z147" s="51"/>
      <c r="AA147" s="51"/>
      <c r="AB147" s="51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48"/>
      <c r="BL147" s="48"/>
      <c r="BM147" s="48"/>
      <c r="BN147" s="48"/>
      <c r="BO147" s="48"/>
      <c r="BP147" s="48"/>
      <c r="BQ147" s="48"/>
      <c r="BR147" s="48"/>
      <c r="BS147" s="48"/>
      <c r="BT147" s="48"/>
      <c r="BU147" s="40"/>
      <c r="BV147" s="40"/>
      <c r="BW147" s="48"/>
      <c r="BX147" s="48"/>
      <c r="BY147" s="40"/>
      <c r="BZ147" s="40"/>
      <c r="CA147" s="48"/>
      <c r="CB147" s="48"/>
      <c r="CC147" s="40"/>
      <c r="CD147" s="40"/>
      <c r="CE147" s="48"/>
      <c r="CF147" s="49"/>
    </row>
    <row r="148" spans="1:84" ht="15.75" x14ac:dyDescent="0.25">
      <c r="A148" s="149" t="s">
        <v>158</v>
      </c>
      <c r="B148" s="150" t="s">
        <v>261</v>
      </c>
      <c r="C148" s="25"/>
      <c r="D148" s="26" t="s">
        <v>254</v>
      </c>
      <c r="E148" s="150"/>
      <c r="F148" s="16" t="s">
        <v>13</v>
      </c>
      <c r="G148" s="17" t="s">
        <v>13</v>
      </c>
      <c r="H148" s="17" t="s">
        <v>17</v>
      </c>
      <c r="I148" s="134">
        <v>1</v>
      </c>
      <c r="J148" s="17" t="s">
        <v>79</v>
      </c>
      <c r="K148" s="142">
        <v>46143</v>
      </c>
      <c r="L148" s="142">
        <v>46173</v>
      </c>
      <c r="M148" s="19"/>
      <c r="N148" s="20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51"/>
      <c r="Z148" s="51"/>
      <c r="AA148" s="51"/>
      <c r="AB148" s="51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0"/>
      <c r="BV148" s="40"/>
      <c r="BW148" s="48"/>
      <c r="BX148" s="48"/>
      <c r="BY148" s="40"/>
      <c r="BZ148" s="40"/>
      <c r="CA148" s="48"/>
      <c r="CB148" s="48"/>
      <c r="CC148" s="40"/>
      <c r="CD148" s="40"/>
      <c r="CE148" s="48"/>
      <c r="CF148" s="49"/>
    </row>
    <row r="149" spans="1:84" ht="15.75" x14ac:dyDescent="0.25">
      <c r="A149" s="149" t="s">
        <v>158</v>
      </c>
      <c r="B149" s="150" t="s">
        <v>262</v>
      </c>
      <c r="C149" s="25"/>
      <c r="D149" s="15" t="s">
        <v>263</v>
      </c>
      <c r="E149" s="150"/>
      <c r="F149" s="16" t="s">
        <v>13</v>
      </c>
      <c r="G149" s="17" t="s">
        <v>13</v>
      </c>
      <c r="H149" s="16" t="s">
        <v>17</v>
      </c>
      <c r="I149" s="148">
        <f>AVERAGE(I150:I153)</f>
        <v>1</v>
      </c>
      <c r="J149" s="17" t="s">
        <v>79</v>
      </c>
      <c r="K149" s="142">
        <v>46143</v>
      </c>
      <c r="L149" s="142">
        <v>46173</v>
      </c>
      <c r="M149" s="19"/>
      <c r="N149" s="20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50"/>
      <c r="AA149" s="50"/>
      <c r="AB149" s="50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48"/>
      <c r="BL149" s="48"/>
      <c r="BM149" s="48"/>
      <c r="BN149" s="48"/>
      <c r="BO149" s="48"/>
      <c r="BP149" s="48"/>
      <c r="BQ149" s="48"/>
      <c r="BR149" s="48"/>
      <c r="BS149" s="48"/>
      <c r="BT149" s="48"/>
      <c r="BU149" s="40"/>
      <c r="BV149" s="40"/>
      <c r="BW149" s="48"/>
      <c r="BX149" s="48"/>
      <c r="BY149" s="40"/>
      <c r="BZ149" s="40"/>
      <c r="CA149" s="48"/>
      <c r="CB149" s="48"/>
      <c r="CC149" s="40"/>
      <c r="CD149" s="40"/>
      <c r="CE149" s="48"/>
      <c r="CF149" s="49"/>
    </row>
    <row r="150" spans="1:84" ht="15.75" x14ac:dyDescent="0.25">
      <c r="A150" s="149" t="s">
        <v>158</v>
      </c>
      <c r="B150" s="150" t="s">
        <v>264</v>
      </c>
      <c r="C150" s="25"/>
      <c r="D150" s="26" t="s">
        <v>265</v>
      </c>
      <c r="E150" s="150"/>
      <c r="F150" s="16" t="s">
        <v>13</v>
      </c>
      <c r="G150" s="17" t="s">
        <v>13</v>
      </c>
      <c r="H150" s="17" t="s">
        <v>17</v>
      </c>
      <c r="I150" s="134">
        <v>1</v>
      </c>
      <c r="J150" s="17" t="s">
        <v>79</v>
      </c>
      <c r="K150" s="142">
        <v>46143</v>
      </c>
      <c r="L150" s="142">
        <v>46173</v>
      </c>
      <c r="M150" s="19"/>
      <c r="N150" s="20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51"/>
      <c r="AA150" s="51"/>
      <c r="AB150" s="51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48"/>
      <c r="BL150" s="48"/>
      <c r="BM150" s="48"/>
      <c r="BN150" s="48"/>
      <c r="BO150" s="48"/>
      <c r="BP150" s="48"/>
      <c r="BQ150" s="48"/>
      <c r="BR150" s="48"/>
      <c r="BS150" s="48"/>
      <c r="BT150" s="48"/>
      <c r="BU150" s="40"/>
      <c r="BV150" s="40"/>
      <c r="BW150" s="48"/>
      <c r="BX150" s="48"/>
      <c r="BY150" s="40"/>
      <c r="BZ150" s="40"/>
      <c r="CA150" s="48"/>
      <c r="CB150" s="48"/>
      <c r="CC150" s="40"/>
      <c r="CD150" s="40"/>
      <c r="CE150" s="48"/>
      <c r="CF150" s="49"/>
    </row>
    <row r="151" spans="1:84" ht="15.75" x14ac:dyDescent="0.25">
      <c r="A151" s="149" t="s">
        <v>158</v>
      </c>
      <c r="B151" s="150" t="s">
        <v>266</v>
      </c>
      <c r="C151" s="25"/>
      <c r="D151" s="26" t="s">
        <v>267</v>
      </c>
      <c r="E151" s="150"/>
      <c r="F151" s="16" t="s">
        <v>13</v>
      </c>
      <c r="G151" s="17" t="s">
        <v>13</v>
      </c>
      <c r="H151" s="17" t="s">
        <v>17</v>
      </c>
      <c r="I151" s="134">
        <v>1</v>
      </c>
      <c r="J151" s="17" t="s">
        <v>79</v>
      </c>
      <c r="K151" s="142">
        <v>46143</v>
      </c>
      <c r="L151" s="142">
        <v>46173</v>
      </c>
      <c r="M151" s="19"/>
      <c r="N151" s="20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51"/>
      <c r="AA151" s="51"/>
      <c r="AB151" s="51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48"/>
      <c r="BL151" s="48"/>
      <c r="BM151" s="48"/>
      <c r="BN151" s="48"/>
      <c r="BO151" s="48"/>
      <c r="BP151" s="48"/>
      <c r="BQ151" s="48"/>
      <c r="BR151" s="48"/>
      <c r="BS151" s="48"/>
      <c r="BT151" s="48"/>
      <c r="BU151" s="40"/>
      <c r="BV151" s="40"/>
      <c r="BW151" s="48"/>
      <c r="BX151" s="48"/>
      <c r="BY151" s="40"/>
      <c r="BZ151" s="40"/>
      <c r="CA151" s="48"/>
      <c r="CB151" s="48"/>
      <c r="CC151" s="40"/>
      <c r="CD151" s="40"/>
      <c r="CE151" s="48"/>
      <c r="CF151" s="49"/>
    </row>
    <row r="152" spans="1:84" ht="15.75" x14ac:dyDescent="0.25">
      <c r="A152" s="149" t="s">
        <v>158</v>
      </c>
      <c r="B152" s="150" t="s">
        <v>268</v>
      </c>
      <c r="C152" s="25"/>
      <c r="D152" s="26" t="s">
        <v>269</v>
      </c>
      <c r="E152" s="150"/>
      <c r="F152" s="16" t="s">
        <v>13</v>
      </c>
      <c r="G152" s="17" t="s">
        <v>13</v>
      </c>
      <c r="H152" s="17" t="s">
        <v>17</v>
      </c>
      <c r="I152" s="134">
        <v>1</v>
      </c>
      <c r="J152" s="17" t="s">
        <v>79</v>
      </c>
      <c r="K152" s="142">
        <v>46143</v>
      </c>
      <c r="L152" s="142">
        <v>46173</v>
      </c>
      <c r="M152" s="19"/>
      <c r="N152" s="20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51"/>
      <c r="AA152" s="51"/>
      <c r="AB152" s="51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48"/>
      <c r="BL152" s="48"/>
      <c r="BM152" s="48"/>
      <c r="BN152" s="48"/>
      <c r="BO152" s="48"/>
      <c r="BP152" s="48"/>
      <c r="BQ152" s="48"/>
      <c r="BR152" s="48"/>
      <c r="BS152" s="48"/>
      <c r="BT152" s="48"/>
      <c r="BU152" s="40"/>
      <c r="BV152" s="40"/>
      <c r="BW152" s="48"/>
      <c r="BX152" s="48"/>
      <c r="BY152" s="40"/>
      <c r="BZ152" s="40"/>
      <c r="CA152" s="48"/>
      <c r="CB152" s="48"/>
      <c r="CC152" s="40"/>
      <c r="CD152" s="40"/>
      <c r="CE152" s="48"/>
      <c r="CF152" s="49"/>
    </row>
    <row r="153" spans="1:84" ht="15.75" x14ac:dyDescent="0.25">
      <c r="A153" s="149" t="s">
        <v>158</v>
      </c>
      <c r="B153" s="150" t="s">
        <v>270</v>
      </c>
      <c r="C153" s="25"/>
      <c r="D153" s="26" t="s">
        <v>271</v>
      </c>
      <c r="E153" s="150"/>
      <c r="F153" s="16" t="s">
        <v>13</v>
      </c>
      <c r="G153" s="17" t="s">
        <v>13</v>
      </c>
      <c r="H153" s="17" t="s">
        <v>17</v>
      </c>
      <c r="I153" s="134">
        <v>1</v>
      </c>
      <c r="J153" s="17" t="s">
        <v>79</v>
      </c>
      <c r="K153" s="142">
        <v>46143</v>
      </c>
      <c r="L153" s="142">
        <v>46173</v>
      </c>
      <c r="M153" s="19"/>
      <c r="N153" s="20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51"/>
      <c r="AA153" s="51"/>
      <c r="AB153" s="51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  <c r="BL153" s="48"/>
      <c r="BM153" s="48"/>
      <c r="BN153" s="48"/>
      <c r="BO153" s="48"/>
      <c r="BP153" s="48"/>
      <c r="BQ153" s="48"/>
      <c r="BR153" s="48"/>
      <c r="BS153" s="48"/>
      <c r="BT153" s="48"/>
      <c r="BU153" s="40"/>
      <c r="BV153" s="40"/>
      <c r="BW153" s="48"/>
      <c r="BX153" s="48"/>
      <c r="BY153" s="40"/>
      <c r="BZ153" s="40"/>
      <c r="CA153" s="48"/>
      <c r="CB153" s="48"/>
      <c r="CC153" s="40"/>
      <c r="CD153" s="40"/>
      <c r="CE153" s="48"/>
      <c r="CF153" s="49"/>
    </row>
    <row r="154" spans="1:84" ht="15.75" x14ac:dyDescent="0.25">
      <c r="A154" s="149" t="s">
        <v>158</v>
      </c>
      <c r="B154" s="150" t="s">
        <v>272</v>
      </c>
      <c r="C154" s="25"/>
      <c r="D154" s="15" t="s">
        <v>273</v>
      </c>
      <c r="E154" s="150"/>
      <c r="F154" s="16" t="s">
        <v>274</v>
      </c>
      <c r="G154" s="16" t="s">
        <v>13</v>
      </c>
      <c r="H154" s="16" t="s">
        <v>17</v>
      </c>
      <c r="I154" s="148">
        <v>1</v>
      </c>
      <c r="J154" s="17" t="s">
        <v>14</v>
      </c>
      <c r="K154" s="142">
        <v>46157</v>
      </c>
      <c r="L154" s="142">
        <v>46173</v>
      </c>
      <c r="M154" s="19"/>
      <c r="N154" s="2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52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40"/>
      <c r="CF154" s="42"/>
    </row>
    <row r="155" spans="1:84" ht="15.75" x14ac:dyDescent="0.25">
      <c r="A155" s="149" t="s">
        <v>158</v>
      </c>
      <c r="B155" s="150" t="s">
        <v>275</v>
      </c>
      <c r="C155" s="25"/>
      <c r="D155" s="43" t="s">
        <v>276</v>
      </c>
      <c r="E155" s="150"/>
      <c r="F155" s="16" t="s">
        <v>274</v>
      </c>
      <c r="G155" s="44" t="s">
        <v>277</v>
      </c>
      <c r="H155" s="16" t="s">
        <v>17</v>
      </c>
      <c r="I155" s="148">
        <v>1</v>
      </c>
      <c r="J155" s="17" t="s">
        <v>79</v>
      </c>
      <c r="K155" s="142">
        <v>46157</v>
      </c>
      <c r="L155" s="142">
        <v>46173</v>
      </c>
      <c r="M155" s="19"/>
      <c r="N155" s="20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53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0"/>
      <c r="BV155" s="40"/>
      <c r="BW155" s="48"/>
      <c r="BX155" s="48"/>
      <c r="BY155" s="40"/>
      <c r="BZ155" s="40"/>
      <c r="CA155" s="48"/>
      <c r="CB155" s="48"/>
      <c r="CC155" s="40"/>
      <c r="CD155" s="40"/>
      <c r="CE155" s="48"/>
      <c r="CF155" s="49"/>
    </row>
    <row r="156" spans="1:84" ht="27" customHeight="1" x14ac:dyDescent="0.25">
      <c r="A156" s="149" t="s">
        <v>158</v>
      </c>
      <c r="B156" s="150">
        <v>3.14</v>
      </c>
      <c r="C156" s="25"/>
      <c r="D156" s="43" t="s">
        <v>910</v>
      </c>
      <c r="E156" s="150"/>
      <c r="F156" s="16"/>
      <c r="G156" s="44"/>
      <c r="H156" s="139" t="str">
        <f>IF(COUNTIF(H157:H169,"Finalizado")=ROWS(H157:H169),"Finalizado",IF(COUNTIF(H157:H169,"Pendiente")=ROWS(H157:H169),"No iniciado","En proceso"))</f>
        <v>En proceso</v>
      </c>
      <c r="I156" s="148">
        <v>0.4</v>
      </c>
      <c r="J156" s="17" t="s">
        <v>79</v>
      </c>
      <c r="K156" s="142"/>
      <c r="L156" s="142"/>
      <c r="M156" s="19"/>
      <c r="N156" s="20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53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  <c r="BU156" s="40"/>
      <c r="BV156" s="40"/>
      <c r="BW156" s="48"/>
      <c r="BX156" s="48"/>
      <c r="BY156" s="40"/>
      <c r="BZ156" s="40"/>
      <c r="CA156" s="48"/>
      <c r="CB156" s="48"/>
      <c r="CC156" s="40"/>
      <c r="CD156" s="40"/>
      <c r="CE156" s="48"/>
      <c r="CF156" s="49"/>
    </row>
    <row r="157" spans="1:84" s="152" customFormat="1" x14ac:dyDescent="0.25">
      <c r="A157" s="143" t="s">
        <v>278</v>
      </c>
      <c r="B157" s="144" t="s">
        <v>279</v>
      </c>
      <c r="C157" s="36"/>
      <c r="D157" s="37" t="s">
        <v>280</v>
      </c>
      <c r="E157" s="150" t="s">
        <v>989</v>
      </c>
      <c r="F157" s="139" t="s">
        <v>13</v>
      </c>
      <c r="G157" s="139" t="s">
        <v>13</v>
      </c>
      <c r="H157" s="139" t="str">
        <f>IF(COUNTIF(H158:H170,"Finalizado")=ROWS(H158:H170),"Finalizado",IF(COUNTIF(H158:H170,"Pendiente")=ROWS(H158:H170),"No iniciado","En proceso"))</f>
        <v>En proceso</v>
      </c>
      <c r="I157" s="158">
        <f>AVERAGE(I158:I170)</f>
        <v>0.3</v>
      </c>
      <c r="J157" s="139" t="s">
        <v>79</v>
      </c>
      <c r="K157" s="153">
        <v>46157</v>
      </c>
      <c r="L157" s="153">
        <v>46402</v>
      </c>
      <c r="M157" s="154"/>
      <c r="N157" s="155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48"/>
      <c r="BH157" s="48"/>
      <c r="BI157" s="48"/>
      <c r="BJ157" s="48"/>
      <c r="BK157" s="48"/>
      <c r="BL157" s="48"/>
      <c r="BM157" s="48"/>
      <c r="BN157" s="48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  <c r="BZ157" s="48"/>
      <c r="CA157" s="48"/>
      <c r="CB157" s="48"/>
      <c r="CC157" s="48"/>
      <c r="CD157" s="48"/>
      <c r="CE157" s="48"/>
      <c r="CF157" s="49"/>
    </row>
    <row r="158" spans="1:84" ht="15.75" x14ac:dyDescent="0.25">
      <c r="A158" s="149" t="s">
        <v>278</v>
      </c>
      <c r="B158" s="150" t="s">
        <v>281</v>
      </c>
      <c r="C158" s="25"/>
      <c r="D158" s="15" t="s">
        <v>99</v>
      </c>
      <c r="E158" s="150"/>
      <c r="F158" s="16" t="s">
        <v>13</v>
      </c>
      <c r="G158" s="17" t="s">
        <v>13</v>
      </c>
      <c r="H158" s="16" t="s">
        <v>17</v>
      </c>
      <c r="I158" s="148">
        <v>1</v>
      </c>
      <c r="J158" s="17" t="s">
        <v>79</v>
      </c>
      <c r="K158" s="142">
        <v>46157</v>
      </c>
      <c r="L158" s="142">
        <v>46203</v>
      </c>
      <c r="M158" s="19"/>
      <c r="N158" s="20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50"/>
      <c r="AB158" s="50"/>
      <c r="AC158" s="50"/>
      <c r="AD158" s="50"/>
      <c r="AE158" s="50"/>
      <c r="AF158" s="50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  <c r="BU158" s="40"/>
      <c r="BV158" s="40"/>
      <c r="BW158" s="48"/>
      <c r="BX158" s="48"/>
      <c r="BY158" s="40"/>
      <c r="BZ158" s="40"/>
      <c r="CA158" s="48"/>
      <c r="CB158" s="48"/>
      <c r="CC158" s="40"/>
      <c r="CD158" s="40"/>
      <c r="CE158" s="48"/>
      <c r="CF158" s="49"/>
    </row>
    <row r="159" spans="1:84" ht="15.75" x14ac:dyDescent="0.25">
      <c r="A159" s="149" t="s">
        <v>278</v>
      </c>
      <c r="B159" s="150" t="s">
        <v>282</v>
      </c>
      <c r="C159" s="25"/>
      <c r="D159" s="15" t="s">
        <v>283</v>
      </c>
      <c r="E159" s="150" t="s">
        <v>990</v>
      </c>
      <c r="F159" s="16" t="s">
        <v>13</v>
      </c>
      <c r="G159" s="17" t="s">
        <v>13</v>
      </c>
      <c r="H159" s="16" t="s">
        <v>72</v>
      </c>
      <c r="I159" s="148">
        <v>0.25</v>
      </c>
      <c r="J159" s="17" t="s">
        <v>79</v>
      </c>
      <c r="K159" s="142">
        <v>46157</v>
      </c>
      <c r="L159" s="142">
        <v>46402</v>
      </c>
      <c r="M159" s="19"/>
      <c r="N159" s="20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0"/>
      <c r="BV159" s="40"/>
      <c r="BW159" s="48"/>
      <c r="BX159" s="48"/>
      <c r="BY159" s="40"/>
      <c r="BZ159" s="40"/>
      <c r="CA159" s="48"/>
      <c r="CB159" s="48"/>
      <c r="CC159" s="40"/>
      <c r="CD159" s="40"/>
      <c r="CE159" s="48"/>
      <c r="CF159" s="49"/>
    </row>
    <row r="160" spans="1:84" ht="15.75" x14ac:dyDescent="0.25">
      <c r="A160" s="149" t="s">
        <v>278</v>
      </c>
      <c r="B160" s="150" t="s">
        <v>284</v>
      </c>
      <c r="C160" s="25"/>
      <c r="D160" s="15" t="s">
        <v>285</v>
      </c>
      <c r="E160" s="150"/>
      <c r="F160" s="16" t="s">
        <v>13</v>
      </c>
      <c r="G160" s="17" t="s">
        <v>13</v>
      </c>
      <c r="H160" s="16" t="s">
        <v>72</v>
      </c>
      <c r="I160" s="148">
        <v>0.25</v>
      </c>
      <c r="J160" s="17" t="s">
        <v>79</v>
      </c>
      <c r="K160" s="142">
        <v>46157</v>
      </c>
      <c r="L160" s="142">
        <v>46402</v>
      </c>
      <c r="M160" s="19"/>
      <c r="N160" s="20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  <c r="BQ160" s="48"/>
      <c r="BR160" s="48"/>
      <c r="BS160" s="48"/>
      <c r="BT160" s="48"/>
      <c r="BU160" s="40"/>
      <c r="BV160" s="40"/>
      <c r="BW160" s="48"/>
      <c r="BX160" s="48"/>
      <c r="BY160" s="40"/>
      <c r="BZ160" s="40"/>
      <c r="CA160" s="48"/>
      <c r="CB160" s="48"/>
      <c r="CC160" s="40"/>
      <c r="CD160" s="40"/>
      <c r="CE160" s="48"/>
      <c r="CF160" s="49"/>
    </row>
    <row r="161" spans="1:84" ht="15.75" x14ac:dyDescent="0.25">
      <c r="A161" s="149" t="s">
        <v>278</v>
      </c>
      <c r="B161" s="150" t="s">
        <v>286</v>
      </c>
      <c r="C161" s="25"/>
      <c r="D161" s="15" t="s">
        <v>287</v>
      </c>
      <c r="E161" s="150"/>
      <c r="F161" s="16" t="s">
        <v>13</v>
      </c>
      <c r="G161" s="17" t="s">
        <v>13</v>
      </c>
      <c r="H161" s="16" t="s">
        <v>72</v>
      </c>
      <c r="I161" s="148">
        <v>0.3</v>
      </c>
      <c r="J161" s="17" t="s">
        <v>79</v>
      </c>
      <c r="K161" s="142">
        <v>46157</v>
      </c>
      <c r="L161" s="142">
        <v>46402</v>
      </c>
      <c r="M161" s="19"/>
      <c r="N161" s="20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48"/>
      <c r="BH161" s="48"/>
      <c r="BI161" s="48"/>
      <c r="BJ161" s="48"/>
      <c r="BK161" s="48"/>
      <c r="BL161" s="48"/>
      <c r="BM161" s="48"/>
      <c r="BN161" s="48"/>
      <c r="BO161" s="48"/>
      <c r="BP161" s="48"/>
      <c r="BQ161" s="48"/>
      <c r="BR161" s="48"/>
      <c r="BS161" s="48"/>
      <c r="BT161" s="48"/>
      <c r="BU161" s="40"/>
      <c r="BV161" s="40"/>
      <c r="BW161" s="48"/>
      <c r="BX161" s="48"/>
      <c r="BY161" s="40"/>
      <c r="BZ161" s="40"/>
      <c r="CA161" s="48"/>
      <c r="CB161" s="48"/>
      <c r="CC161" s="40"/>
      <c r="CD161" s="40"/>
      <c r="CE161" s="48"/>
      <c r="CF161" s="49"/>
    </row>
    <row r="162" spans="1:84" ht="15.75" x14ac:dyDescent="0.25">
      <c r="A162" s="149" t="s">
        <v>278</v>
      </c>
      <c r="B162" s="150" t="s">
        <v>288</v>
      </c>
      <c r="C162" s="25"/>
      <c r="D162" s="15" t="s">
        <v>289</v>
      </c>
      <c r="E162" s="150"/>
      <c r="F162" s="16" t="s">
        <v>13</v>
      </c>
      <c r="G162" s="17" t="s">
        <v>13</v>
      </c>
      <c r="H162" s="16" t="s">
        <v>72</v>
      </c>
      <c r="I162" s="148">
        <v>0.3</v>
      </c>
      <c r="J162" s="17" t="s">
        <v>79</v>
      </c>
      <c r="K162" s="142">
        <v>46157</v>
      </c>
      <c r="L162" s="142">
        <v>46402</v>
      </c>
      <c r="M162" s="19"/>
      <c r="N162" s="20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  <c r="BQ162" s="48"/>
      <c r="BR162" s="48"/>
      <c r="BS162" s="48"/>
      <c r="BT162" s="48"/>
      <c r="BU162" s="40"/>
      <c r="BV162" s="40"/>
      <c r="BW162" s="48"/>
      <c r="BX162" s="48"/>
      <c r="BY162" s="40"/>
      <c r="BZ162" s="40"/>
      <c r="CA162" s="48"/>
      <c r="CB162" s="48"/>
      <c r="CC162" s="40"/>
      <c r="CD162" s="40"/>
      <c r="CE162" s="48"/>
      <c r="CF162" s="49"/>
    </row>
    <row r="163" spans="1:84" ht="15.75" x14ac:dyDescent="0.25">
      <c r="A163" s="149" t="s">
        <v>278</v>
      </c>
      <c r="B163" s="150" t="s">
        <v>290</v>
      </c>
      <c r="C163" s="159"/>
      <c r="D163" s="15" t="s">
        <v>887</v>
      </c>
      <c r="E163" s="150"/>
      <c r="F163" s="16" t="s">
        <v>13</v>
      </c>
      <c r="G163" s="17" t="s">
        <v>13</v>
      </c>
      <c r="H163" s="16" t="s">
        <v>72</v>
      </c>
      <c r="I163" s="148">
        <v>0.25</v>
      </c>
      <c r="J163" s="17" t="s">
        <v>79</v>
      </c>
      <c r="K163" s="142">
        <v>46204</v>
      </c>
      <c r="L163" s="142">
        <v>46402</v>
      </c>
      <c r="M163" s="19"/>
      <c r="N163" s="20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0"/>
      <c r="BV163" s="40"/>
      <c r="BW163" s="48"/>
      <c r="BX163" s="48"/>
      <c r="BY163" s="40"/>
      <c r="BZ163" s="40"/>
      <c r="CA163" s="48"/>
      <c r="CB163" s="48"/>
      <c r="CC163" s="40"/>
      <c r="CD163" s="40"/>
      <c r="CE163" s="48"/>
      <c r="CF163" s="49"/>
    </row>
    <row r="164" spans="1:84" ht="27" x14ac:dyDescent="0.25">
      <c r="A164" s="149" t="s">
        <v>278</v>
      </c>
      <c r="B164" s="150" t="s">
        <v>291</v>
      </c>
      <c r="C164" s="25"/>
      <c r="D164" s="15" t="s">
        <v>292</v>
      </c>
      <c r="E164" s="150" t="s">
        <v>991</v>
      </c>
      <c r="F164" s="16" t="s">
        <v>13</v>
      </c>
      <c r="G164" s="17" t="s">
        <v>13</v>
      </c>
      <c r="H164" s="16" t="s">
        <v>72</v>
      </c>
      <c r="I164" s="148">
        <v>0.25</v>
      </c>
      <c r="J164" s="17" t="s">
        <v>298</v>
      </c>
      <c r="K164" s="142">
        <v>46204</v>
      </c>
      <c r="L164" s="142">
        <v>46402</v>
      </c>
      <c r="M164" s="19"/>
      <c r="N164" s="20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48"/>
      <c r="BH164" s="48"/>
      <c r="BI164" s="48"/>
      <c r="BJ164" s="48"/>
      <c r="BK164" s="48"/>
      <c r="BL164" s="48"/>
      <c r="BM164" s="48"/>
      <c r="BN164" s="48"/>
      <c r="BO164" s="48"/>
      <c r="BP164" s="48"/>
      <c r="BQ164" s="48"/>
      <c r="BR164" s="48"/>
      <c r="BS164" s="48"/>
      <c r="BT164" s="48"/>
      <c r="BU164" s="40"/>
      <c r="BV164" s="40"/>
      <c r="BW164" s="48"/>
      <c r="BX164" s="48"/>
      <c r="BY164" s="40"/>
      <c r="BZ164" s="40"/>
      <c r="CA164" s="48"/>
      <c r="CB164" s="48"/>
      <c r="CC164" s="40"/>
      <c r="CD164" s="40"/>
      <c r="CE164" s="48"/>
      <c r="CF164" s="49"/>
    </row>
    <row r="165" spans="1:84" ht="15.75" x14ac:dyDescent="0.25">
      <c r="A165" s="149" t="s">
        <v>278</v>
      </c>
      <c r="B165" s="150" t="s">
        <v>293</v>
      </c>
      <c r="C165" s="159"/>
      <c r="D165" s="15" t="s">
        <v>888</v>
      </c>
      <c r="F165" s="16" t="s">
        <v>13</v>
      </c>
      <c r="G165" s="17" t="s">
        <v>13</v>
      </c>
      <c r="H165" s="16" t="s">
        <v>72</v>
      </c>
      <c r="I165" s="148">
        <v>0.25</v>
      </c>
      <c r="J165" s="17" t="s">
        <v>79</v>
      </c>
      <c r="K165" s="142">
        <v>46204</v>
      </c>
      <c r="L165" s="142">
        <v>46402</v>
      </c>
      <c r="M165" s="19"/>
      <c r="N165" s="20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48"/>
      <c r="BH165" s="48"/>
      <c r="BI165" s="48"/>
      <c r="BJ165" s="48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  <c r="BU165" s="40"/>
      <c r="BV165" s="40"/>
      <c r="BW165" s="48"/>
      <c r="BX165" s="48"/>
      <c r="BY165" s="40"/>
      <c r="BZ165" s="40"/>
      <c r="CA165" s="48"/>
      <c r="CB165" s="48"/>
      <c r="CC165" s="40"/>
      <c r="CD165" s="40"/>
      <c r="CE165" s="48"/>
      <c r="CF165" s="49"/>
    </row>
    <row r="166" spans="1:84" ht="27" x14ac:dyDescent="0.25">
      <c r="A166" s="149" t="s">
        <v>278</v>
      </c>
      <c r="B166" s="150" t="s">
        <v>294</v>
      </c>
      <c r="C166" s="25"/>
      <c r="D166" s="15" t="s">
        <v>295</v>
      </c>
      <c r="E166" s="150" t="s">
        <v>991</v>
      </c>
      <c r="F166" s="16" t="s">
        <v>13</v>
      </c>
      <c r="G166" s="17" t="s">
        <v>13</v>
      </c>
      <c r="H166" s="16" t="s">
        <v>72</v>
      </c>
      <c r="I166" s="148">
        <v>0.25</v>
      </c>
      <c r="J166" s="17" t="s">
        <v>298</v>
      </c>
      <c r="K166" s="142">
        <v>46204</v>
      </c>
      <c r="L166" s="142">
        <v>46402</v>
      </c>
      <c r="M166" s="19"/>
      <c r="N166" s="20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48"/>
      <c r="BH166" s="48"/>
      <c r="BI166" s="48"/>
      <c r="BJ166" s="48"/>
      <c r="BK166" s="48"/>
      <c r="BL166" s="48"/>
      <c r="BM166" s="48"/>
      <c r="BN166" s="48"/>
      <c r="BO166" s="48"/>
      <c r="BP166" s="48"/>
      <c r="BQ166" s="48"/>
      <c r="BR166" s="48"/>
      <c r="BS166" s="48"/>
      <c r="BT166" s="48"/>
      <c r="BU166" s="40"/>
      <c r="BV166" s="40"/>
      <c r="BW166" s="48"/>
      <c r="BX166" s="48"/>
      <c r="BY166" s="40"/>
      <c r="BZ166" s="40"/>
      <c r="CA166" s="48"/>
      <c r="CB166" s="48"/>
      <c r="CC166" s="40"/>
      <c r="CD166" s="40"/>
      <c r="CE166" s="48"/>
      <c r="CF166" s="49"/>
    </row>
    <row r="167" spans="1:84" ht="15.75" x14ac:dyDescent="0.25">
      <c r="A167" s="149" t="s">
        <v>278</v>
      </c>
      <c r="B167" s="150" t="s">
        <v>296</v>
      </c>
      <c r="C167" s="159"/>
      <c r="D167" s="15" t="s">
        <v>889</v>
      </c>
      <c r="F167" s="16" t="s">
        <v>13</v>
      </c>
      <c r="G167" s="17" t="s">
        <v>13</v>
      </c>
      <c r="H167" s="16" t="s">
        <v>72</v>
      </c>
      <c r="I167" s="148">
        <v>0.25</v>
      </c>
      <c r="J167" s="17" t="s">
        <v>79</v>
      </c>
      <c r="K167" s="142">
        <v>46204</v>
      </c>
      <c r="L167" s="142">
        <v>46402</v>
      </c>
      <c r="M167" s="19"/>
      <c r="N167" s="20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40"/>
      <c r="BV167" s="40"/>
      <c r="BW167" s="48"/>
      <c r="BX167" s="48"/>
      <c r="BY167" s="40"/>
      <c r="BZ167" s="40"/>
      <c r="CA167" s="48"/>
      <c r="CB167" s="48"/>
      <c r="CC167" s="40"/>
      <c r="CD167" s="40"/>
      <c r="CE167" s="48"/>
      <c r="CF167" s="49"/>
    </row>
    <row r="168" spans="1:84" ht="15.75" x14ac:dyDescent="0.25">
      <c r="A168" s="149" t="s">
        <v>278</v>
      </c>
      <c r="B168" s="150">
        <v>4.1100000000000003</v>
      </c>
      <c r="C168" s="159"/>
      <c r="D168" s="15" t="s">
        <v>898</v>
      </c>
      <c r="E168" s="150" t="s">
        <v>991</v>
      </c>
      <c r="F168" s="16" t="s">
        <v>13</v>
      </c>
      <c r="G168" s="17" t="s">
        <v>13</v>
      </c>
      <c r="H168" s="16" t="s">
        <v>72</v>
      </c>
      <c r="I168" s="148">
        <v>0.05</v>
      </c>
      <c r="J168" s="17" t="s">
        <v>79</v>
      </c>
      <c r="K168" s="142">
        <v>46204</v>
      </c>
      <c r="L168" s="142">
        <v>46402</v>
      </c>
      <c r="M168" s="19"/>
      <c r="N168" s="20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  <c r="BU168" s="40"/>
      <c r="BV168" s="40"/>
      <c r="BW168" s="48"/>
      <c r="BX168" s="48"/>
      <c r="BY168" s="40"/>
      <c r="BZ168" s="40"/>
      <c r="CA168" s="48"/>
      <c r="CB168" s="48"/>
      <c r="CC168" s="40"/>
      <c r="CD168" s="40"/>
      <c r="CE168" s="48"/>
      <c r="CF168" s="49"/>
    </row>
    <row r="169" spans="1:84" ht="15.75" x14ac:dyDescent="0.25">
      <c r="A169" s="149" t="s">
        <v>278</v>
      </c>
      <c r="B169" s="150">
        <v>4.12</v>
      </c>
      <c r="C169" s="160"/>
      <c r="D169" s="15" t="s">
        <v>297</v>
      </c>
      <c r="E169" s="150"/>
      <c r="F169" s="16" t="s">
        <v>298</v>
      </c>
      <c r="G169" s="17" t="s">
        <v>13</v>
      </c>
      <c r="H169" s="16" t="s">
        <v>72</v>
      </c>
      <c r="I169" s="148">
        <v>0.25</v>
      </c>
      <c r="J169" s="17" t="s">
        <v>14</v>
      </c>
      <c r="K169" s="142">
        <v>46157</v>
      </c>
      <c r="L169" s="142">
        <v>46402</v>
      </c>
      <c r="M169" s="19"/>
      <c r="N169" s="20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48"/>
      <c r="BH169" s="48"/>
      <c r="BI169" s="48"/>
      <c r="BJ169" s="48"/>
      <c r="BK169" s="48"/>
      <c r="BL169" s="48"/>
      <c r="BM169" s="48"/>
      <c r="BN169" s="48"/>
      <c r="BO169" s="48"/>
      <c r="BP169" s="48"/>
      <c r="BQ169" s="48"/>
      <c r="BR169" s="48"/>
      <c r="BS169" s="48"/>
      <c r="BT169" s="48"/>
      <c r="BU169" s="40"/>
      <c r="BV169" s="40"/>
      <c r="BW169" s="48"/>
      <c r="BX169" s="48"/>
      <c r="BY169" s="40"/>
      <c r="BZ169" s="40"/>
      <c r="CA169" s="48"/>
      <c r="CB169" s="48"/>
      <c r="CC169" s="40"/>
      <c r="CD169" s="40"/>
      <c r="CE169" s="48"/>
      <c r="CF169" s="49"/>
    </row>
    <row r="170" spans="1:84" ht="54" x14ac:dyDescent="0.25">
      <c r="A170" s="149" t="s">
        <v>278</v>
      </c>
      <c r="B170" s="150">
        <v>4.13</v>
      </c>
      <c r="C170" s="160"/>
      <c r="D170" s="43" t="s">
        <v>299</v>
      </c>
      <c r="E170" s="150"/>
      <c r="F170" s="16" t="s">
        <v>298</v>
      </c>
      <c r="G170" s="17" t="s">
        <v>300</v>
      </c>
      <c r="H170" s="16" t="s">
        <v>72</v>
      </c>
      <c r="I170" s="148">
        <v>0.25</v>
      </c>
      <c r="J170" s="17" t="s">
        <v>14</v>
      </c>
      <c r="K170" s="142">
        <v>46388</v>
      </c>
      <c r="L170" s="142">
        <v>46402</v>
      </c>
      <c r="M170" s="19"/>
      <c r="N170" s="20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55"/>
      <c r="BF170" s="55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0"/>
      <c r="BV170" s="40"/>
      <c r="BW170" s="48"/>
      <c r="BX170" s="48"/>
      <c r="BY170" s="40"/>
      <c r="BZ170" s="40"/>
      <c r="CA170" s="48"/>
      <c r="CB170" s="48"/>
      <c r="CC170" s="40"/>
      <c r="CD170" s="40"/>
      <c r="CE170" s="48"/>
      <c r="CF170" s="49"/>
    </row>
    <row r="171" spans="1:84" s="152" customFormat="1" x14ac:dyDescent="0.25">
      <c r="A171" s="143" t="s">
        <v>301</v>
      </c>
      <c r="B171" s="144" t="s">
        <v>302</v>
      </c>
      <c r="C171" s="56"/>
      <c r="D171" s="37" t="s">
        <v>303</v>
      </c>
      <c r="E171" s="150"/>
      <c r="F171" s="139" t="s">
        <v>13</v>
      </c>
      <c r="G171" s="139" t="s">
        <v>13</v>
      </c>
      <c r="H171" s="139" t="s">
        <v>84</v>
      </c>
      <c r="I171" s="158">
        <f>AVERAGE(I172:I176)</f>
        <v>0</v>
      </c>
      <c r="J171" s="139" t="s">
        <v>95</v>
      </c>
      <c r="K171" s="153">
        <v>46235</v>
      </c>
      <c r="L171" s="153">
        <v>46280</v>
      </c>
      <c r="M171" s="154"/>
      <c r="N171" s="155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54"/>
      <c r="AM171" s="54"/>
      <c r="AN171" s="54"/>
      <c r="AO171" s="54"/>
      <c r="AP171" s="54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48"/>
      <c r="BY171" s="48"/>
      <c r="BZ171" s="48"/>
      <c r="CA171" s="48"/>
      <c r="CB171" s="48"/>
      <c r="CC171" s="48"/>
      <c r="CD171" s="48"/>
      <c r="CE171" s="48"/>
      <c r="CF171" s="49"/>
    </row>
    <row r="172" spans="1:84" ht="27" x14ac:dyDescent="0.25">
      <c r="A172" s="149" t="s">
        <v>301</v>
      </c>
      <c r="B172" s="150" t="s">
        <v>304</v>
      </c>
      <c r="C172" s="25"/>
      <c r="D172" s="15" t="s">
        <v>305</v>
      </c>
      <c r="E172" s="175" t="s">
        <v>906</v>
      </c>
      <c r="F172" s="16" t="s">
        <v>13</v>
      </c>
      <c r="G172" s="16" t="s">
        <v>13</v>
      </c>
      <c r="H172" s="16" t="s">
        <v>84</v>
      </c>
      <c r="I172" s="148">
        <v>0</v>
      </c>
      <c r="J172" s="17" t="s">
        <v>95</v>
      </c>
      <c r="K172" s="142">
        <v>46235</v>
      </c>
      <c r="L172" s="142">
        <v>46249</v>
      </c>
      <c r="M172" s="19"/>
      <c r="N172" s="20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50"/>
      <c r="AM172" s="50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0"/>
      <c r="BV172" s="40"/>
      <c r="BW172" s="48"/>
      <c r="BX172" s="48"/>
      <c r="BY172" s="40"/>
      <c r="BZ172" s="40"/>
      <c r="CA172" s="48"/>
      <c r="CB172" s="48"/>
      <c r="CC172" s="40"/>
      <c r="CD172" s="40"/>
      <c r="CE172" s="48"/>
      <c r="CF172" s="49"/>
    </row>
    <row r="173" spans="1:84" ht="15.75" x14ac:dyDescent="0.25">
      <c r="A173" s="149" t="s">
        <v>301</v>
      </c>
      <c r="B173" s="150" t="s">
        <v>306</v>
      </c>
      <c r="C173" s="25"/>
      <c r="D173" s="15" t="s">
        <v>307</v>
      </c>
      <c r="E173" s="150"/>
      <c r="F173" s="16" t="s">
        <v>13</v>
      </c>
      <c r="G173" s="16" t="s">
        <v>13</v>
      </c>
      <c r="H173" s="16" t="s">
        <v>84</v>
      </c>
      <c r="I173" s="148">
        <v>0</v>
      </c>
      <c r="J173" s="17" t="s">
        <v>95</v>
      </c>
      <c r="K173" s="142">
        <v>46235</v>
      </c>
      <c r="L173" s="142">
        <v>46249</v>
      </c>
      <c r="M173" s="19"/>
      <c r="N173" s="20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50"/>
      <c r="AN173" s="50"/>
      <c r="AO173" s="50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  <c r="BU173" s="40"/>
      <c r="BV173" s="40"/>
      <c r="BW173" s="48"/>
      <c r="BX173" s="48"/>
      <c r="BY173" s="40"/>
      <c r="BZ173" s="40"/>
      <c r="CA173" s="48"/>
      <c r="CB173" s="48"/>
      <c r="CC173" s="40"/>
      <c r="CD173" s="40"/>
      <c r="CE173" s="48"/>
      <c r="CF173" s="49"/>
    </row>
    <row r="174" spans="1:84" ht="26.25" customHeight="1" x14ac:dyDescent="0.25">
      <c r="A174" s="149" t="s">
        <v>301</v>
      </c>
      <c r="B174" s="150" t="s">
        <v>308</v>
      </c>
      <c r="C174" s="25"/>
      <c r="D174" s="15" t="s">
        <v>309</v>
      </c>
      <c r="E174" s="150"/>
      <c r="F174" s="16" t="s">
        <v>310</v>
      </c>
      <c r="G174" s="16" t="s">
        <v>13</v>
      </c>
      <c r="H174" s="16" t="s">
        <v>84</v>
      </c>
      <c r="I174" s="148">
        <v>0</v>
      </c>
      <c r="J174" s="17" t="s">
        <v>14</v>
      </c>
      <c r="K174" s="142">
        <v>46266</v>
      </c>
      <c r="L174" s="142">
        <v>46280</v>
      </c>
      <c r="M174" s="19"/>
      <c r="N174" s="20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50"/>
      <c r="AP174" s="50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0"/>
      <c r="BV174" s="40"/>
      <c r="BW174" s="48"/>
      <c r="BX174" s="48"/>
      <c r="BY174" s="40"/>
      <c r="BZ174" s="40"/>
      <c r="CA174" s="48"/>
      <c r="CB174" s="48"/>
      <c r="CC174" s="40"/>
      <c r="CD174" s="40"/>
      <c r="CE174" s="48"/>
      <c r="CF174" s="49"/>
    </row>
    <row r="175" spans="1:84" ht="15.75" x14ac:dyDescent="0.25">
      <c r="A175" s="149" t="s">
        <v>301</v>
      </c>
      <c r="B175" s="150" t="s">
        <v>311</v>
      </c>
      <c r="C175" s="25"/>
      <c r="D175" s="15" t="s">
        <v>312</v>
      </c>
      <c r="E175" s="150"/>
      <c r="F175" s="16" t="s">
        <v>890</v>
      </c>
      <c r="G175" s="16" t="s">
        <v>13</v>
      </c>
      <c r="H175" s="16" t="s">
        <v>84</v>
      </c>
      <c r="I175" s="148">
        <v>0</v>
      </c>
      <c r="J175" s="17" t="s">
        <v>14</v>
      </c>
      <c r="K175" s="142">
        <v>46266</v>
      </c>
      <c r="L175" s="142">
        <v>46280</v>
      </c>
      <c r="M175" s="19"/>
      <c r="N175" s="20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50"/>
      <c r="AP175" s="50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0"/>
      <c r="BV175" s="40"/>
      <c r="BW175" s="48"/>
      <c r="BX175" s="48"/>
      <c r="BY175" s="40"/>
      <c r="BZ175" s="40"/>
      <c r="CA175" s="48"/>
      <c r="CB175" s="48"/>
      <c r="CC175" s="40"/>
      <c r="CD175" s="40"/>
      <c r="CE175" s="48"/>
      <c r="CF175" s="49"/>
    </row>
    <row r="176" spans="1:84" ht="15.75" x14ac:dyDescent="0.25">
      <c r="A176" s="149" t="s">
        <v>301</v>
      </c>
      <c r="B176" s="150" t="s">
        <v>313</v>
      </c>
      <c r="C176" s="25"/>
      <c r="D176" s="15" t="s">
        <v>314</v>
      </c>
      <c r="E176" s="150"/>
      <c r="F176" s="16" t="s">
        <v>274</v>
      </c>
      <c r="G176" s="16" t="s">
        <v>13</v>
      </c>
      <c r="H176" s="16" t="s">
        <v>84</v>
      </c>
      <c r="I176" s="148">
        <v>0</v>
      </c>
      <c r="J176" s="17" t="s">
        <v>14</v>
      </c>
      <c r="K176" s="142">
        <v>46266</v>
      </c>
      <c r="L176" s="142">
        <v>46280</v>
      </c>
      <c r="M176" s="19"/>
      <c r="N176" s="20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50"/>
      <c r="AP176" s="50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0"/>
      <c r="BV176" s="40"/>
      <c r="BW176" s="48"/>
      <c r="BX176" s="48"/>
      <c r="BY176" s="40"/>
      <c r="BZ176" s="40"/>
      <c r="CA176" s="48"/>
      <c r="CB176" s="48"/>
      <c r="CC176" s="40"/>
      <c r="CD176" s="40"/>
      <c r="CE176" s="48"/>
      <c r="CF176" s="49"/>
    </row>
    <row r="177" spans="1:84" s="152" customFormat="1" x14ac:dyDescent="0.25">
      <c r="A177" s="143" t="s">
        <v>315</v>
      </c>
      <c r="B177" s="144" t="s">
        <v>316</v>
      </c>
      <c r="C177" s="56"/>
      <c r="D177" s="37" t="s">
        <v>317</v>
      </c>
      <c r="E177" s="150"/>
      <c r="F177" s="139" t="s">
        <v>13</v>
      </c>
      <c r="G177" s="139" t="s">
        <v>13</v>
      </c>
      <c r="H177" s="139" t="str">
        <f>IF(COUNTIF(H178:H186,"Finalizado")=ROWS(H178:H186),"Finalizado",IF(COUNTIF(H178:H186,"Pendiente")=ROWS(H178:H186),"No iniciado","En proceso"))</f>
        <v>En proceso</v>
      </c>
      <c r="I177" s="158">
        <f>AVERAGE(I178,I179,I184,I186)</f>
        <v>0.625</v>
      </c>
      <c r="J177" s="139" t="s">
        <v>95</v>
      </c>
      <c r="K177" s="153">
        <v>46113</v>
      </c>
      <c r="L177" s="153">
        <v>46234</v>
      </c>
      <c r="M177" s="154"/>
      <c r="N177" s="155"/>
      <c r="O177" s="163"/>
      <c r="P177" s="163"/>
      <c r="Q177" s="163"/>
      <c r="R177" s="163"/>
      <c r="S177" s="163"/>
      <c r="T177" s="163"/>
      <c r="U177" s="163"/>
      <c r="V177" s="164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  <c r="AH177" s="164"/>
      <c r="AI177" s="164"/>
      <c r="AJ177" s="163"/>
      <c r="AK177" s="163"/>
      <c r="AL177" s="163"/>
      <c r="AM177" s="163"/>
      <c r="AN177" s="163"/>
      <c r="AO177" s="163"/>
      <c r="AP177" s="163"/>
      <c r="AQ177" s="163"/>
      <c r="AR177" s="163"/>
      <c r="AS177" s="163"/>
      <c r="AT177" s="163"/>
      <c r="AU177" s="163"/>
      <c r="AV177" s="163"/>
      <c r="AW177" s="163"/>
      <c r="AX177" s="163"/>
      <c r="AY177" s="163"/>
      <c r="AZ177" s="163"/>
      <c r="BA177" s="163"/>
      <c r="BB177" s="163"/>
      <c r="BC177" s="163"/>
      <c r="BD177" s="163"/>
      <c r="BE177" s="163"/>
      <c r="BF177" s="163"/>
      <c r="BG177" s="163"/>
      <c r="BH177" s="163"/>
      <c r="BI177" s="163"/>
      <c r="BJ177" s="163"/>
      <c r="BK177" s="163"/>
      <c r="BL177" s="163"/>
      <c r="BM177" s="163"/>
      <c r="BN177" s="163"/>
      <c r="BO177" s="163"/>
      <c r="BP177" s="163"/>
      <c r="BQ177" s="163"/>
      <c r="BR177" s="163"/>
      <c r="BS177" s="163"/>
      <c r="BT177" s="163"/>
      <c r="BU177" s="163"/>
      <c r="BV177" s="163"/>
      <c r="BW177" s="163"/>
      <c r="BX177" s="163"/>
      <c r="BY177" s="163"/>
      <c r="BZ177" s="163"/>
      <c r="CA177" s="163"/>
      <c r="CB177" s="163"/>
      <c r="CC177" s="163"/>
      <c r="CD177" s="163"/>
      <c r="CE177" s="163"/>
      <c r="CF177" s="165"/>
    </row>
    <row r="178" spans="1:84" ht="15.75" x14ac:dyDescent="0.25">
      <c r="A178" s="149" t="s">
        <v>315</v>
      </c>
      <c r="B178" s="150" t="s">
        <v>318</v>
      </c>
      <c r="C178" s="25"/>
      <c r="D178" s="15" t="s">
        <v>319</v>
      </c>
      <c r="E178" s="150"/>
      <c r="F178" s="16" t="s">
        <v>13</v>
      </c>
      <c r="G178" s="16" t="s">
        <v>13</v>
      </c>
      <c r="H178" s="16" t="s">
        <v>17</v>
      </c>
      <c r="I178" s="148">
        <v>1</v>
      </c>
      <c r="J178" s="17" t="s">
        <v>95</v>
      </c>
      <c r="K178" s="142">
        <v>46113</v>
      </c>
      <c r="L178" s="142">
        <v>46203</v>
      </c>
      <c r="M178" s="19"/>
      <c r="N178" s="20"/>
      <c r="O178" s="58"/>
      <c r="P178" s="58"/>
      <c r="Q178" s="58"/>
      <c r="R178" s="58"/>
      <c r="S178" s="58"/>
      <c r="T178" s="58"/>
      <c r="U178" s="58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58"/>
      <c r="BS178" s="58"/>
      <c r="BT178" s="58"/>
      <c r="BU178" s="58"/>
      <c r="BV178" s="58"/>
      <c r="BW178" s="58"/>
      <c r="BX178" s="58"/>
      <c r="BY178" s="58"/>
      <c r="BZ178" s="58"/>
      <c r="CA178" s="58"/>
      <c r="CB178" s="58"/>
      <c r="CC178" s="58"/>
      <c r="CD178" s="58"/>
      <c r="CE178" s="58"/>
      <c r="CF178" s="60"/>
    </row>
    <row r="179" spans="1:84" ht="15.75" x14ac:dyDescent="0.25">
      <c r="A179" s="149" t="s">
        <v>315</v>
      </c>
      <c r="B179" s="150" t="s">
        <v>320</v>
      </c>
      <c r="C179" s="25"/>
      <c r="D179" s="15" t="s">
        <v>321</v>
      </c>
      <c r="E179" s="150"/>
      <c r="F179" s="16"/>
      <c r="G179" s="16"/>
      <c r="H179" s="16" t="s">
        <v>17</v>
      </c>
      <c r="I179" s="148">
        <v>1</v>
      </c>
      <c r="J179" s="17" t="s">
        <v>95</v>
      </c>
      <c r="K179" s="142">
        <v>46113</v>
      </c>
      <c r="L179" s="142">
        <v>46203</v>
      </c>
      <c r="M179" s="19"/>
      <c r="N179" s="20"/>
      <c r="O179" s="58"/>
      <c r="P179" s="58"/>
      <c r="Q179" s="58"/>
      <c r="R179" s="58"/>
      <c r="S179" s="58"/>
      <c r="T179" s="58"/>
      <c r="U179" s="58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58"/>
      <c r="BS179" s="58"/>
      <c r="BT179" s="58"/>
      <c r="BU179" s="58"/>
      <c r="BV179" s="58"/>
      <c r="BW179" s="58"/>
      <c r="BX179" s="58"/>
      <c r="BY179" s="58"/>
      <c r="BZ179" s="58"/>
      <c r="CA179" s="58"/>
      <c r="CB179" s="58"/>
      <c r="CC179" s="58"/>
      <c r="CD179" s="58"/>
      <c r="CE179" s="58"/>
      <c r="CF179" s="60"/>
    </row>
    <row r="180" spans="1:84" ht="15.75" x14ac:dyDescent="0.25">
      <c r="A180" s="149"/>
      <c r="B180" s="150"/>
      <c r="C180" s="25"/>
      <c r="D180" s="15"/>
      <c r="E180" s="150"/>
      <c r="F180" s="16"/>
      <c r="G180" s="16"/>
      <c r="H180" s="16"/>
      <c r="I180" s="148"/>
      <c r="J180" s="17"/>
      <c r="K180" s="142"/>
      <c r="L180" s="142"/>
      <c r="M180" s="19"/>
      <c r="N180" s="20"/>
      <c r="O180" s="58"/>
      <c r="P180" s="58"/>
      <c r="Q180" s="58"/>
      <c r="R180" s="58"/>
      <c r="S180" s="58"/>
      <c r="T180" s="58"/>
      <c r="U180" s="58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  <c r="BS180" s="58"/>
      <c r="BT180" s="58"/>
      <c r="BU180" s="58"/>
      <c r="BV180" s="58"/>
      <c r="BW180" s="58"/>
      <c r="BX180" s="58"/>
      <c r="BY180" s="58"/>
      <c r="BZ180" s="58"/>
      <c r="CA180" s="58"/>
      <c r="CB180" s="58"/>
      <c r="CC180" s="58"/>
      <c r="CD180" s="58"/>
      <c r="CE180" s="58"/>
      <c r="CF180" s="60"/>
    </row>
    <row r="181" spans="1:84" ht="15.75" x14ac:dyDescent="0.25">
      <c r="A181" s="149"/>
      <c r="B181" s="150"/>
      <c r="C181" s="25"/>
      <c r="D181" s="15"/>
      <c r="E181" s="150"/>
      <c r="F181" s="16"/>
      <c r="G181" s="16"/>
      <c r="H181" s="16"/>
      <c r="I181" s="148"/>
      <c r="J181" s="17"/>
      <c r="K181" s="142"/>
      <c r="L181" s="142"/>
      <c r="M181" s="19"/>
      <c r="N181" s="20"/>
      <c r="O181" s="58"/>
      <c r="P181" s="58"/>
      <c r="Q181" s="58"/>
      <c r="R181" s="58"/>
      <c r="S181" s="58"/>
      <c r="T181" s="58"/>
      <c r="U181" s="58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58"/>
      <c r="BS181" s="58"/>
      <c r="BT181" s="58"/>
      <c r="BU181" s="58"/>
      <c r="BV181" s="58"/>
      <c r="BW181" s="58"/>
      <c r="BX181" s="58"/>
      <c r="BY181" s="58"/>
      <c r="BZ181" s="58"/>
      <c r="CA181" s="58"/>
      <c r="CB181" s="58"/>
      <c r="CC181" s="58"/>
      <c r="CD181" s="58"/>
      <c r="CE181" s="58"/>
      <c r="CF181" s="60"/>
    </row>
    <row r="182" spans="1:84" ht="15.75" x14ac:dyDescent="0.25">
      <c r="A182" s="149"/>
      <c r="B182" s="150"/>
      <c r="C182" s="25"/>
      <c r="D182" s="15"/>
      <c r="E182" s="150"/>
      <c r="F182" s="16"/>
      <c r="G182" s="16"/>
      <c r="H182" s="16"/>
      <c r="I182" s="148"/>
      <c r="J182" s="17"/>
      <c r="K182" s="142"/>
      <c r="L182" s="142"/>
      <c r="M182" s="19"/>
      <c r="N182" s="20"/>
      <c r="O182" s="58"/>
      <c r="P182" s="58"/>
      <c r="Q182" s="58"/>
      <c r="R182" s="58"/>
      <c r="S182" s="58"/>
      <c r="T182" s="58"/>
      <c r="U182" s="58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8"/>
      <c r="BQ182" s="58"/>
      <c r="BR182" s="58"/>
      <c r="BS182" s="58"/>
      <c r="BT182" s="58"/>
      <c r="BU182" s="58"/>
      <c r="BV182" s="58"/>
      <c r="BW182" s="58"/>
      <c r="BX182" s="58"/>
      <c r="BY182" s="58"/>
      <c r="BZ182" s="58"/>
      <c r="CA182" s="58"/>
      <c r="CB182" s="58"/>
      <c r="CC182" s="58"/>
      <c r="CD182" s="58"/>
      <c r="CE182" s="58"/>
      <c r="CF182" s="60"/>
    </row>
    <row r="183" spans="1:84" ht="15.75" x14ac:dyDescent="0.25">
      <c r="A183" s="149"/>
      <c r="B183" s="150"/>
      <c r="C183" s="25"/>
      <c r="D183" s="15"/>
      <c r="E183" s="150"/>
      <c r="F183" s="16"/>
      <c r="G183" s="16"/>
      <c r="H183" s="16"/>
      <c r="I183" s="148"/>
      <c r="J183" s="17"/>
      <c r="K183" s="142"/>
      <c r="L183" s="142"/>
      <c r="M183" s="19"/>
      <c r="N183" s="20"/>
      <c r="O183" s="58"/>
      <c r="P183" s="58"/>
      <c r="Q183" s="58"/>
      <c r="R183" s="58"/>
      <c r="S183" s="58"/>
      <c r="T183" s="58"/>
      <c r="U183" s="58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8"/>
      <c r="BR183" s="58"/>
      <c r="BS183" s="58"/>
      <c r="BT183" s="58"/>
      <c r="BU183" s="58"/>
      <c r="BV183" s="58"/>
      <c r="BW183" s="58"/>
      <c r="BX183" s="58"/>
      <c r="BY183" s="58"/>
      <c r="BZ183" s="58"/>
      <c r="CA183" s="58"/>
      <c r="CB183" s="58"/>
      <c r="CC183" s="58"/>
      <c r="CD183" s="58"/>
      <c r="CE183" s="58"/>
      <c r="CF183" s="60"/>
    </row>
    <row r="184" spans="1:84" ht="15.75" x14ac:dyDescent="0.25">
      <c r="A184" s="149" t="s">
        <v>315</v>
      </c>
      <c r="B184" s="150" t="s">
        <v>322</v>
      </c>
      <c r="C184" s="25"/>
      <c r="D184" s="15" t="s">
        <v>323</v>
      </c>
      <c r="E184" s="150"/>
      <c r="F184" s="16" t="s">
        <v>13</v>
      </c>
      <c r="G184" s="16" t="s">
        <v>13</v>
      </c>
      <c r="H184" s="16" t="s">
        <v>17</v>
      </c>
      <c r="I184" s="148">
        <f>AVERAGE(I185)</f>
        <v>0.25</v>
      </c>
      <c r="J184" s="17" t="s">
        <v>95</v>
      </c>
      <c r="K184" s="142">
        <v>46127</v>
      </c>
      <c r="L184" s="142">
        <v>46173</v>
      </c>
      <c r="M184" s="19"/>
      <c r="N184" s="20"/>
      <c r="O184" s="61"/>
      <c r="P184" s="61"/>
      <c r="Q184" s="61"/>
      <c r="R184" s="61"/>
      <c r="S184" s="61"/>
      <c r="T184" s="61"/>
      <c r="U184" s="61"/>
      <c r="V184" s="61"/>
      <c r="W184" s="62"/>
      <c r="X184" s="62"/>
      <c r="Y184" s="62"/>
      <c r="Z184" s="62"/>
      <c r="AA184" s="62"/>
      <c r="AB184" s="62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  <c r="BY184" s="61"/>
      <c r="BZ184" s="61"/>
      <c r="CA184" s="61"/>
      <c r="CB184" s="61"/>
      <c r="CC184" s="61"/>
      <c r="CD184" s="61"/>
      <c r="CE184" s="61"/>
      <c r="CF184" s="63"/>
    </row>
    <row r="185" spans="1:84" ht="15.75" x14ac:dyDescent="0.25">
      <c r="A185" s="149" t="s">
        <v>315</v>
      </c>
      <c r="B185" s="150" t="s">
        <v>324</v>
      </c>
      <c r="C185" s="25"/>
      <c r="D185" s="26" t="s">
        <v>325</v>
      </c>
      <c r="E185" s="150" t="s">
        <v>907</v>
      </c>
      <c r="F185" s="16" t="s">
        <v>13</v>
      </c>
      <c r="G185" s="16" t="s">
        <v>13</v>
      </c>
      <c r="H185" s="17" t="s">
        <v>72</v>
      </c>
      <c r="I185" s="134">
        <v>0.25</v>
      </c>
      <c r="J185" s="65" t="s">
        <v>14</v>
      </c>
      <c r="K185" s="142">
        <v>46174</v>
      </c>
      <c r="L185" s="142">
        <v>46203</v>
      </c>
      <c r="M185" s="19"/>
      <c r="N185" s="20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1"/>
      <c r="AD185" s="51"/>
      <c r="AE185" s="51"/>
      <c r="AF185" s="51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8"/>
      <c r="BR185" s="58"/>
      <c r="BS185" s="58"/>
      <c r="BT185" s="58"/>
      <c r="BU185" s="58"/>
      <c r="BV185" s="58"/>
      <c r="BW185" s="58"/>
      <c r="BX185" s="58"/>
      <c r="BY185" s="58"/>
      <c r="BZ185" s="58"/>
      <c r="CA185" s="58"/>
      <c r="CB185" s="58"/>
      <c r="CC185" s="58"/>
      <c r="CD185" s="58"/>
      <c r="CE185" s="58"/>
      <c r="CF185" s="60"/>
    </row>
    <row r="186" spans="1:84" ht="15.75" x14ac:dyDescent="0.25">
      <c r="A186" s="149" t="s">
        <v>315</v>
      </c>
      <c r="B186" s="150" t="s">
        <v>326</v>
      </c>
      <c r="C186" s="25"/>
      <c r="D186" s="15" t="s">
        <v>309</v>
      </c>
      <c r="E186" s="150"/>
      <c r="F186" s="16" t="s">
        <v>114</v>
      </c>
      <c r="G186" s="16" t="s">
        <v>13</v>
      </c>
      <c r="H186" s="16" t="s">
        <v>72</v>
      </c>
      <c r="I186" s="148">
        <v>0.25</v>
      </c>
      <c r="J186" s="17" t="s">
        <v>14</v>
      </c>
      <c r="K186" s="142">
        <v>46204</v>
      </c>
      <c r="L186" s="142">
        <v>46234</v>
      </c>
      <c r="M186" s="19"/>
      <c r="N186" s="20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2"/>
      <c r="AH186" s="62"/>
      <c r="AI186" s="62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  <c r="BY186" s="61"/>
      <c r="BZ186" s="61"/>
      <c r="CA186" s="61"/>
      <c r="CB186" s="61"/>
      <c r="CC186" s="61"/>
      <c r="CD186" s="61"/>
      <c r="CE186" s="61"/>
      <c r="CF186" s="63"/>
    </row>
    <row r="187" spans="1:84" s="152" customFormat="1" x14ac:dyDescent="0.25">
      <c r="A187" s="143" t="s">
        <v>327</v>
      </c>
      <c r="B187" s="144" t="s">
        <v>328</v>
      </c>
      <c r="C187" s="56"/>
      <c r="D187" s="37" t="s">
        <v>329</v>
      </c>
      <c r="E187" s="150"/>
      <c r="F187" s="139" t="s">
        <v>13</v>
      </c>
      <c r="G187" s="139" t="s">
        <v>13</v>
      </c>
      <c r="H187" s="166" t="s">
        <v>330</v>
      </c>
      <c r="I187" s="166"/>
      <c r="J187" s="139" t="s">
        <v>79</v>
      </c>
      <c r="K187" s="153">
        <v>46082</v>
      </c>
      <c r="L187" s="153">
        <v>46477</v>
      </c>
      <c r="M187" s="154"/>
      <c r="N187" s="155"/>
      <c r="O187" s="163"/>
      <c r="P187" s="163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  <c r="AE187" s="164"/>
      <c r="AF187" s="164"/>
      <c r="AG187" s="164"/>
      <c r="AH187" s="164"/>
      <c r="AI187" s="164"/>
      <c r="AJ187" s="164"/>
      <c r="AK187" s="164"/>
      <c r="AL187" s="164"/>
      <c r="AM187" s="164"/>
      <c r="AN187" s="164"/>
      <c r="AO187" s="164"/>
      <c r="AP187" s="164"/>
      <c r="AQ187" s="164"/>
      <c r="AR187" s="164"/>
      <c r="AS187" s="164"/>
      <c r="AT187" s="164"/>
      <c r="AU187" s="164"/>
      <c r="AV187" s="164"/>
      <c r="AW187" s="164"/>
      <c r="AX187" s="164"/>
      <c r="AY187" s="164"/>
      <c r="AZ187" s="164"/>
      <c r="BA187" s="164"/>
      <c r="BB187" s="164"/>
      <c r="BC187" s="164"/>
      <c r="BD187" s="164"/>
      <c r="BE187" s="164"/>
      <c r="BF187" s="164"/>
      <c r="BG187" s="164"/>
      <c r="BH187" s="164"/>
      <c r="BI187" s="164"/>
      <c r="BJ187" s="164"/>
      <c r="BK187" s="164"/>
      <c r="BL187" s="164"/>
      <c r="BM187" s="164"/>
      <c r="BN187" s="164"/>
      <c r="BO187" s="164"/>
      <c r="BP187" s="164"/>
      <c r="BQ187" s="163"/>
      <c r="BR187" s="163"/>
      <c r="BS187" s="163"/>
      <c r="BT187" s="163"/>
      <c r="BU187" s="163"/>
      <c r="BV187" s="163"/>
      <c r="BW187" s="163"/>
      <c r="BX187" s="163"/>
      <c r="BY187" s="163"/>
      <c r="BZ187" s="163"/>
      <c r="CA187" s="163"/>
      <c r="CB187" s="163"/>
      <c r="CC187" s="163"/>
      <c r="CD187" s="163"/>
      <c r="CE187" s="163"/>
      <c r="CF187" s="165"/>
    </row>
    <row r="188" spans="1:84" ht="15.75" x14ac:dyDescent="0.25">
      <c r="A188" s="149" t="s">
        <v>327</v>
      </c>
      <c r="B188" s="150" t="s">
        <v>331</v>
      </c>
      <c r="C188" s="25"/>
      <c r="D188" s="15" t="s">
        <v>332</v>
      </c>
      <c r="E188" s="150"/>
      <c r="F188" s="16" t="s">
        <v>13</v>
      </c>
      <c r="G188" s="16" t="s">
        <v>13</v>
      </c>
      <c r="H188" s="64" t="s">
        <v>330</v>
      </c>
      <c r="I188" s="169">
        <f>AVERAGE(I189,I190,I191,I192,I227,I236,I245,I253,I254,I255)</f>
        <v>0.25963888888888886</v>
      </c>
      <c r="J188" s="17" t="s">
        <v>79</v>
      </c>
      <c r="K188" s="142">
        <v>46082</v>
      </c>
      <c r="L188" s="142">
        <v>46326</v>
      </c>
      <c r="M188" s="19"/>
      <c r="N188" s="20"/>
      <c r="O188" s="61"/>
      <c r="P188" s="61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6"/>
      <c r="AC188" s="66"/>
      <c r="AD188" s="66"/>
      <c r="AE188" s="66"/>
      <c r="AF188" s="66"/>
      <c r="AG188" s="66"/>
      <c r="AH188" s="62"/>
      <c r="AI188" s="62"/>
      <c r="AJ188" s="62"/>
      <c r="AK188" s="62"/>
      <c r="AL188" s="50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1"/>
      <c r="AX188" s="61"/>
      <c r="AY188" s="61"/>
      <c r="AZ188" s="61"/>
      <c r="BA188" s="61"/>
      <c r="BB188" s="61"/>
      <c r="BC188" s="57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  <c r="BY188" s="61"/>
      <c r="BZ188" s="61"/>
      <c r="CA188" s="61"/>
      <c r="CB188" s="61"/>
      <c r="CC188" s="61"/>
      <c r="CD188" s="61"/>
      <c r="CE188" s="61"/>
      <c r="CF188" s="63"/>
    </row>
    <row r="189" spans="1:84" ht="15.75" x14ac:dyDescent="0.25">
      <c r="A189" s="149" t="s">
        <v>327</v>
      </c>
      <c r="B189" s="150" t="s">
        <v>333</v>
      </c>
      <c r="C189" s="25"/>
      <c r="D189" s="170" t="s">
        <v>334</v>
      </c>
      <c r="E189" s="150"/>
      <c r="F189" s="16" t="s">
        <v>13</v>
      </c>
      <c r="G189" s="16" t="s">
        <v>13</v>
      </c>
      <c r="H189" s="64" t="s">
        <v>17</v>
      </c>
      <c r="I189" s="148">
        <v>1</v>
      </c>
      <c r="J189" s="17" t="s">
        <v>79</v>
      </c>
      <c r="K189" s="142">
        <v>46082</v>
      </c>
      <c r="L189" s="142">
        <v>46127</v>
      </c>
      <c r="M189" s="19"/>
      <c r="N189" s="20"/>
      <c r="O189" s="61"/>
      <c r="P189" s="61"/>
      <c r="Q189" s="67"/>
      <c r="R189" s="67"/>
      <c r="S189" s="67"/>
      <c r="T189" s="67"/>
      <c r="U189" s="67"/>
      <c r="V189" s="67"/>
      <c r="W189" s="61"/>
      <c r="X189" s="61"/>
      <c r="Y189" s="61"/>
      <c r="Z189" s="61"/>
      <c r="AA189" s="61"/>
      <c r="AB189" s="57"/>
      <c r="AC189" s="57"/>
      <c r="AD189" s="57"/>
      <c r="AE189" s="57"/>
      <c r="AF189" s="57"/>
      <c r="AG189" s="57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57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  <c r="BY189" s="61"/>
      <c r="BZ189" s="61"/>
      <c r="CA189" s="61"/>
      <c r="CB189" s="61"/>
      <c r="CC189" s="61"/>
      <c r="CD189" s="61"/>
      <c r="CE189" s="61"/>
      <c r="CF189" s="63"/>
    </row>
    <row r="190" spans="1:84" ht="15.75" x14ac:dyDescent="0.25">
      <c r="A190" s="149" t="s">
        <v>327</v>
      </c>
      <c r="B190" s="150" t="s">
        <v>335</v>
      </c>
      <c r="C190" s="25"/>
      <c r="D190" s="170" t="s">
        <v>336</v>
      </c>
      <c r="E190" s="150"/>
      <c r="F190" s="16" t="s">
        <v>13</v>
      </c>
      <c r="G190" s="16" t="s">
        <v>13</v>
      </c>
      <c r="H190" s="64" t="s">
        <v>17</v>
      </c>
      <c r="I190" s="148">
        <v>0.9</v>
      </c>
      <c r="J190" s="17" t="s">
        <v>79</v>
      </c>
      <c r="K190" s="142">
        <v>46082</v>
      </c>
      <c r="L190" s="142">
        <v>46203</v>
      </c>
      <c r="M190" s="19"/>
      <c r="N190" s="20"/>
      <c r="O190" s="61"/>
      <c r="P190" s="61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8"/>
      <c r="AC190" s="68"/>
      <c r="AD190" s="68"/>
      <c r="AE190" s="68"/>
      <c r="AF190" s="68"/>
      <c r="AG190" s="57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57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  <c r="BY190" s="61"/>
      <c r="BZ190" s="61"/>
      <c r="CA190" s="61"/>
      <c r="CB190" s="61"/>
      <c r="CC190" s="61"/>
      <c r="CD190" s="61"/>
      <c r="CE190" s="61"/>
      <c r="CF190" s="63"/>
    </row>
    <row r="191" spans="1:84" ht="15.75" x14ac:dyDescent="0.25">
      <c r="A191" s="149" t="s">
        <v>327</v>
      </c>
      <c r="B191" s="150" t="s">
        <v>337</v>
      </c>
      <c r="C191" s="25"/>
      <c r="D191" s="170" t="s">
        <v>338</v>
      </c>
      <c r="E191" s="150" t="s">
        <v>909</v>
      </c>
      <c r="F191" s="16" t="s">
        <v>908</v>
      </c>
      <c r="G191" s="16" t="s">
        <v>13</v>
      </c>
      <c r="H191" s="64" t="s">
        <v>330</v>
      </c>
      <c r="I191" s="169">
        <v>0.25</v>
      </c>
      <c r="J191" s="17" t="s">
        <v>79</v>
      </c>
      <c r="K191" s="142">
        <v>46188</v>
      </c>
      <c r="L191" s="142">
        <v>46218</v>
      </c>
      <c r="M191" s="19"/>
      <c r="N191" s="20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57"/>
      <c r="AC191" s="57"/>
      <c r="AD191" s="57"/>
      <c r="AE191" s="57"/>
      <c r="AF191" s="68"/>
      <c r="AG191" s="68"/>
      <c r="AH191" s="67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57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  <c r="BY191" s="61"/>
      <c r="BZ191" s="61"/>
      <c r="CA191" s="61"/>
      <c r="CB191" s="61"/>
      <c r="CC191" s="61"/>
      <c r="CD191" s="61"/>
      <c r="CE191" s="61"/>
      <c r="CF191" s="63"/>
    </row>
    <row r="192" spans="1:84" ht="15.75" x14ac:dyDescent="0.25">
      <c r="A192" s="149" t="s">
        <v>327</v>
      </c>
      <c r="B192" s="150" t="s">
        <v>339</v>
      </c>
      <c r="C192" s="25"/>
      <c r="D192" s="69" t="s">
        <v>340</v>
      </c>
      <c r="E192" s="150"/>
      <c r="F192" s="16" t="s">
        <v>13</v>
      </c>
      <c r="G192" s="16" t="s">
        <v>13</v>
      </c>
      <c r="H192" s="64" t="s">
        <v>330</v>
      </c>
      <c r="I192" s="169">
        <f>AVERAGE(I193,I200,I203,I215,I225)</f>
        <v>0.44638888888888895</v>
      </c>
      <c r="J192" s="17" t="s">
        <v>79</v>
      </c>
      <c r="K192" s="142">
        <v>46082</v>
      </c>
      <c r="L192" s="142">
        <v>46234</v>
      </c>
      <c r="M192" s="19"/>
      <c r="N192" s="20"/>
      <c r="O192" s="61"/>
      <c r="P192" s="61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1"/>
      <c r="AC192" s="71"/>
      <c r="AD192" s="71"/>
      <c r="AE192" s="71"/>
      <c r="AF192" s="71"/>
      <c r="AG192" s="71"/>
      <c r="AH192" s="70"/>
      <c r="AI192" s="70"/>
      <c r="AJ192" s="70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57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  <c r="BY192" s="61"/>
      <c r="BZ192" s="61"/>
      <c r="CA192" s="61"/>
      <c r="CB192" s="61"/>
      <c r="CC192" s="61"/>
      <c r="CD192" s="61"/>
      <c r="CE192" s="61"/>
      <c r="CF192" s="63"/>
    </row>
    <row r="193" spans="1:84" ht="15.75" x14ac:dyDescent="0.25">
      <c r="A193" s="149" t="s">
        <v>327</v>
      </c>
      <c r="B193" s="150" t="s">
        <v>341</v>
      </c>
      <c r="C193" s="25"/>
      <c r="D193" s="181" t="s">
        <v>342</v>
      </c>
      <c r="E193" s="150"/>
      <c r="F193" s="16" t="s">
        <v>13</v>
      </c>
      <c r="G193" s="16" t="s">
        <v>13</v>
      </c>
      <c r="H193" s="65" t="s">
        <v>330</v>
      </c>
      <c r="I193" s="136">
        <f>AVERAGE(I194,I197,I198,I199)</f>
        <v>0.55000000000000004</v>
      </c>
      <c r="J193" s="17" t="s">
        <v>79</v>
      </c>
      <c r="K193" s="142">
        <v>46209</v>
      </c>
      <c r="L193" s="142">
        <v>46239</v>
      </c>
      <c r="M193" s="19"/>
      <c r="N193" s="20"/>
      <c r="O193" s="61"/>
      <c r="P193" s="61"/>
      <c r="Q193" s="67"/>
      <c r="R193" s="67"/>
      <c r="S193" s="67"/>
      <c r="T193" s="67"/>
      <c r="U193" s="67"/>
      <c r="V193" s="67"/>
      <c r="W193" s="67"/>
      <c r="X193" s="67"/>
      <c r="Y193" s="67"/>
      <c r="Z193" s="61"/>
      <c r="AA193" s="61"/>
      <c r="AB193" s="57"/>
      <c r="AC193" s="57"/>
      <c r="AD193" s="57"/>
      <c r="AE193" s="57"/>
      <c r="AF193" s="57"/>
      <c r="AG193" s="57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57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  <c r="BY193" s="61"/>
      <c r="BZ193" s="61"/>
      <c r="CA193" s="61"/>
      <c r="CB193" s="61"/>
      <c r="CC193" s="61"/>
      <c r="CD193" s="61"/>
      <c r="CE193" s="61"/>
      <c r="CF193" s="63"/>
    </row>
    <row r="194" spans="1:84" ht="15.75" x14ac:dyDescent="0.25">
      <c r="A194" s="149" t="s">
        <v>327</v>
      </c>
      <c r="B194" s="150" t="s">
        <v>932</v>
      </c>
      <c r="C194" s="25"/>
      <c r="D194" s="180" t="s">
        <v>979</v>
      </c>
      <c r="E194" s="150"/>
      <c r="F194" s="16" t="s">
        <v>13</v>
      </c>
      <c r="G194" s="16" t="s">
        <v>13</v>
      </c>
      <c r="H194" s="65" t="s">
        <v>330</v>
      </c>
      <c r="I194" s="136">
        <f>AVERAGE(I195:I196)</f>
        <v>0.7</v>
      </c>
      <c r="J194" s="17" t="s">
        <v>79</v>
      </c>
      <c r="K194" s="142">
        <v>46209</v>
      </c>
      <c r="L194" s="142">
        <v>46239</v>
      </c>
      <c r="M194" s="19"/>
      <c r="N194" s="20"/>
      <c r="O194" s="61"/>
      <c r="P194" s="61"/>
      <c r="Q194" s="67"/>
      <c r="R194" s="67"/>
      <c r="S194" s="67"/>
      <c r="T194" s="67"/>
      <c r="U194" s="67"/>
      <c r="V194" s="67"/>
      <c r="W194" s="67"/>
      <c r="X194" s="67"/>
      <c r="Y194" s="67"/>
      <c r="Z194" s="61"/>
      <c r="AA194" s="61"/>
      <c r="AB194" s="57"/>
      <c r="AC194" s="57"/>
      <c r="AD194" s="57"/>
      <c r="AE194" s="57"/>
      <c r="AF194" s="57"/>
      <c r="AG194" s="57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57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  <c r="BY194" s="61"/>
      <c r="BZ194" s="61"/>
      <c r="CA194" s="61"/>
      <c r="CB194" s="61"/>
      <c r="CC194" s="61"/>
      <c r="CD194" s="61"/>
      <c r="CE194" s="61"/>
      <c r="CF194" s="63"/>
    </row>
    <row r="195" spans="1:84" ht="27" customHeight="1" x14ac:dyDescent="0.25">
      <c r="A195" s="149" t="s">
        <v>327</v>
      </c>
      <c r="B195" s="150" t="s">
        <v>933</v>
      </c>
      <c r="C195" s="25"/>
      <c r="D195" s="82" t="s">
        <v>980</v>
      </c>
      <c r="E195" s="150"/>
      <c r="F195" s="16" t="s">
        <v>13</v>
      </c>
      <c r="G195" s="16" t="s">
        <v>13</v>
      </c>
      <c r="H195" s="65" t="s">
        <v>330</v>
      </c>
      <c r="I195" s="136">
        <v>0.7</v>
      </c>
      <c r="J195" s="17" t="s">
        <v>79</v>
      </c>
      <c r="K195" s="142">
        <v>46209</v>
      </c>
      <c r="L195" s="142">
        <v>46239</v>
      </c>
      <c r="M195" s="19"/>
      <c r="N195" s="20"/>
      <c r="O195" s="61"/>
      <c r="P195" s="61"/>
      <c r="Q195" s="67"/>
      <c r="R195" s="67"/>
      <c r="S195" s="67"/>
      <c r="T195" s="67"/>
      <c r="U195" s="67"/>
      <c r="V195" s="67"/>
      <c r="W195" s="67"/>
      <c r="X195" s="67"/>
      <c r="Y195" s="67"/>
      <c r="Z195" s="61"/>
      <c r="AA195" s="61"/>
      <c r="AB195" s="57"/>
      <c r="AC195" s="57"/>
      <c r="AD195" s="57"/>
      <c r="AE195" s="57"/>
      <c r="AF195" s="57"/>
      <c r="AG195" s="57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57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  <c r="BY195" s="61"/>
      <c r="BZ195" s="61"/>
      <c r="CA195" s="61"/>
      <c r="CB195" s="61"/>
      <c r="CC195" s="61"/>
      <c r="CD195" s="61"/>
      <c r="CE195" s="61"/>
      <c r="CF195" s="63"/>
    </row>
    <row r="196" spans="1:84" ht="15.75" x14ac:dyDescent="0.25">
      <c r="A196" s="149" t="s">
        <v>327</v>
      </c>
      <c r="B196" s="150" t="s">
        <v>934</v>
      </c>
      <c r="C196" s="25"/>
      <c r="D196" s="82" t="s">
        <v>981</v>
      </c>
      <c r="E196" s="150"/>
      <c r="F196" s="16" t="s">
        <v>13</v>
      </c>
      <c r="G196" s="16" t="s">
        <v>13</v>
      </c>
      <c r="H196" s="65" t="s">
        <v>330</v>
      </c>
      <c r="I196" s="136">
        <v>0.7</v>
      </c>
      <c r="J196" s="17" t="s">
        <v>79</v>
      </c>
      <c r="K196" s="142">
        <v>46209</v>
      </c>
      <c r="L196" s="142">
        <v>46239</v>
      </c>
      <c r="M196" s="19"/>
      <c r="N196" s="20"/>
      <c r="O196" s="61"/>
      <c r="P196" s="61"/>
      <c r="Q196" s="67"/>
      <c r="R196" s="67"/>
      <c r="S196" s="67"/>
      <c r="T196" s="67"/>
      <c r="U196" s="67"/>
      <c r="V196" s="67"/>
      <c r="W196" s="67"/>
      <c r="X196" s="67"/>
      <c r="Y196" s="67"/>
      <c r="Z196" s="61"/>
      <c r="AA196" s="61"/>
      <c r="AB196" s="57"/>
      <c r="AC196" s="57"/>
      <c r="AD196" s="57"/>
      <c r="AE196" s="57"/>
      <c r="AF196" s="57"/>
      <c r="AG196" s="57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57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  <c r="BY196" s="61"/>
      <c r="BZ196" s="61"/>
      <c r="CA196" s="61"/>
      <c r="CB196" s="61"/>
      <c r="CC196" s="61"/>
      <c r="CD196" s="61"/>
      <c r="CE196" s="61"/>
      <c r="CF196" s="63"/>
    </row>
    <row r="197" spans="1:84" ht="15.75" x14ac:dyDescent="0.25">
      <c r="A197" s="149" t="s">
        <v>327</v>
      </c>
      <c r="B197" s="150" t="s">
        <v>935</v>
      </c>
      <c r="C197" s="25"/>
      <c r="D197" s="179" t="s">
        <v>939</v>
      </c>
      <c r="E197" s="150"/>
      <c r="F197" s="16" t="s">
        <v>13</v>
      </c>
      <c r="G197" s="16" t="s">
        <v>13</v>
      </c>
      <c r="H197" s="65" t="s">
        <v>330</v>
      </c>
      <c r="I197" s="136">
        <v>0.7</v>
      </c>
      <c r="J197" s="17" t="s">
        <v>79</v>
      </c>
      <c r="K197" s="142">
        <v>46209</v>
      </c>
      <c r="L197" s="142">
        <v>46239</v>
      </c>
      <c r="M197" s="19"/>
      <c r="N197" s="20"/>
      <c r="O197" s="61"/>
      <c r="P197" s="61"/>
      <c r="Q197" s="67"/>
      <c r="R197" s="67"/>
      <c r="S197" s="67"/>
      <c r="T197" s="67"/>
      <c r="U197" s="67"/>
      <c r="V197" s="67"/>
      <c r="W197" s="67"/>
      <c r="X197" s="67"/>
      <c r="Y197" s="67"/>
      <c r="Z197" s="61"/>
      <c r="AA197" s="61"/>
      <c r="AB197" s="57"/>
      <c r="AC197" s="57"/>
      <c r="AD197" s="57"/>
      <c r="AE197" s="57"/>
      <c r="AF197" s="57"/>
      <c r="AG197" s="57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57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  <c r="BY197" s="61"/>
      <c r="BZ197" s="61"/>
      <c r="CA197" s="61"/>
      <c r="CB197" s="61"/>
      <c r="CC197" s="61"/>
      <c r="CD197" s="61"/>
      <c r="CE197" s="61"/>
      <c r="CF197" s="63"/>
    </row>
    <row r="198" spans="1:84" ht="15.75" x14ac:dyDescent="0.25">
      <c r="A198" s="149" t="s">
        <v>327</v>
      </c>
      <c r="B198" s="150" t="s">
        <v>936</v>
      </c>
      <c r="C198" s="25"/>
      <c r="D198" s="179" t="s">
        <v>982</v>
      </c>
      <c r="E198" s="150"/>
      <c r="F198" s="16" t="s">
        <v>13</v>
      </c>
      <c r="G198" s="16" t="s">
        <v>13</v>
      </c>
      <c r="H198" s="65" t="s">
        <v>330</v>
      </c>
      <c r="I198" s="136">
        <v>0.8</v>
      </c>
      <c r="J198" s="17" t="s">
        <v>79</v>
      </c>
      <c r="K198" s="142">
        <v>46209</v>
      </c>
      <c r="L198" s="142">
        <v>46239</v>
      </c>
      <c r="M198" s="19"/>
      <c r="N198" s="20"/>
      <c r="O198" s="61"/>
      <c r="P198" s="61"/>
      <c r="Q198" s="67"/>
      <c r="R198" s="67"/>
      <c r="S198" s="67"/>
      <c r="T198" s="67"/>
      <c r="U198" s="67"/>
      <c r="V198" s="67"/>
      <c r="W198" s="67"/>
      <c r="X198" s="67"/>
      <c r="Y198" s="67"/>
      <c r="Z198" s="61"/>
      <c r="AA198" s="61"/>
      <c r="AB198" s="57"/>
      <c r="AC198" s="57"/>
      <c r="AD198" s="57"/>
      <c r="AE198" s="57"/>
      <c r="AF198" s="57"/>
      <c r="AG198" s="57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57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  <c r="BY198" s="61"/>
      <c r="BZ198" s="61"/>
      <c r="CA198" s="61"/>
      <c r="CB198" s="61"/>
      <c r="CC198" s="61"/>
      <c r="CD198" s="61"/>
      <c r="CE198" s="61"/>
      <c r="CF198" s="63"/>
    </row>
    <row r="199" spans="1:84" ht="15.75" x14ac:dyDescent="0.25">
      <c r="A199" s="149" t="s">
        <v>327</v>
      </c>
      <c r="B199" s="150" t="s">
        <v>937</v>
      </c>
      <c r="C199" s="25"/>
      <c r="D199" s="179" t="s">
        <v>938</v>
      </c>
      <c r="E199" s="150"/>
      <c r="F199" s="16" t="s">
        <v>13</v>
      </c>
      <c r="G199" s="16" t="s">
        <v>13</v>
      </c>
      <c r="H199" s="65" t="s">
        <v>330</v>
      </c>
      <c r="I199" s="136">
        <v>0</v>
      </c>
      <c r="J199" s="17" t="s">
        <v>79</v>
      </c>
      <c r="K199" s="142">
        <v>46209</v>
      </c>
      <c r="L199" s="142">
        <v>46239</v>
      </c>
      <c r="M199" s="19"/>
      <c r="N199" s="20"/>
      <c r="O199" s="61"/>
      <c r="P199" s="61"/>
      <c r="Q199" s="67"/>
      <c r="R199" s="67"/>
      <c r="S199" s="67"/>
      <c r="T199" s="67"/>
      <c r="U199" s="67"/>
      <c r="V199" s="67"/>
      <c r="W199" s="67"/>
      <c r="X199" s="67"/>
      <c r="Y199" s="67"/>
      <c r="Z199" s="61"/>
      <c r="AA199" s="61"/>
      <c r="AB199" s="57"/>
      <c r="AC199" s="57"/>
      <c r="AD199" s="57"/>
      <c r="AE199" s="57"/>
      <c r="AF199" s="57"/>
      <c r="AG199" s="57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57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  <c r="BY199" s="61"/>
      <c r="BZ199" s="61"/>
      <c r="CA199" s="61"/>
      <c r="CB199" s="61"/>
      <c r="CC199" s="61"/>
      <c r="CD199" s="61"/>
      <c r="CE199" s="61"/>
      <c r="CF199" s="63"/>
    </row>
    <row r="200" spans="1:84" ht="15.75" x14ac:dyDescent="0.25">
      <c r="A200" s="149" t="s">
        <v>327</v>
      </c>
      <c r="B200" s="150"/>
      <c r="C200" s="25"/>
      <c r="D200" s="181" t="s">
        <v>170</v>
      </c>
      <c r="E200" s="150"/>
      <c r="F200" s="16"/>
      <c r="G200" s="16"/>
      <c r="H200" s="65" t="s">
        <v>330</v>
      </c>
      <c r="I200" s="136">
        <f>AVERAGE(I201:I202)</f>
        <v>0.9</v>
      </c>
      <c r="J200" s="17" t="s">
        <v>79</v>
      </c>
      <c r="K200" s="142">
        <v>46209</v>
      </c>
      <c r="L200" s="142">
        <v>46239</v>
      </c>
      <c r="M200" s="19"/>
      <c r="N200" s="20"/>
      <c r="O200" s="61"/>
      <c r="P200" s="61"/>
      <c r="Q200" s="67"/>
      <c r="R200" s="67"/>
      <c r="S200" s="67"/>
      <c r="T200" s="67"/>
      <c r="U200" s="67"/>
      <c r="V200" s="67"/>
      <c r="W200" s="67"/>
      <c r="X200" s="67"/>
      <c r="Y200" s="67"/>
      <c r="Z200" s="61"/>
      <c r="AA200" s="61"/>
      <c r="AB200" s="57"/>
      <c r="AC200" s="57"/>
      <c r="AD200" s="57"/>
      <c r="AE200" s="57"/>
      <c r="AF200" s="57"/>
      <c r="AG200" s="57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57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  <c r="BY200" s="61"/>
      <c r="BZ200" s="61"/>
      <c r="CA200" s="61"/>
      <c r="CB200" s="61"/>
      <c r="CC200" s="61"/>
      <c r="CD200" s="61"/>
      <c r="CE200" s="61"/>
      <c r="CF200" s="63"/>
    </row>
    <row r="201" spans="1:84" ht="15.75" x14ac:dyDescent="0.25">
      <c r="A201" s="149" t="s">
        <v>327</v>
      </c>
      <c r="B201" s="150"/>
      <c r="C201" s="25"/>
      <c r="D201" s="180" t="s">
        <v>976</v>
      </c>
      <c r="E201" s="150"/>
      <c r="F201" s="16"/>
      <c r="G201" s="16"/>
      <c r="H201" s="65" t="s">
        <v>17</v>
      </c>
      <c r="I201" s="136">
        <v>1</v>
      </c>
      <c r="J201" s="17" t="s">
        <v>79</v>
      </c>
      <c r="K201" s="142">
        <v>46209</v>
      </c>
      <c r="L201" s="142">
        <v>46224</v>
      </c>
      <c r="M201" s="19"/>
      <c r="N201" s="20"/>
      <c r="O201" s="61"/>
      <c r="P201" s="61"/>
      <c r="Q201" s="67"/>
      <c r="R201" s="67"/>
      <c r="S201" s="67"/>
      <c r="T201" s="67"/>
      <c r="U201" s="67"/>
      <c r="V201" s="67"/>
      <c r="W201" s="67"/>
      <c r="X201" s="67"/>
      <c r="Y201" s="67"/>
      <c r="Z201" s="61"/>
      <c r="AA201" s="61"/>
      <c r="AB201" s="57"/>
      <c r="AC201" s="57"/>
      <c r="AD201" s="57"/>
      <c r="AE201" s="57"/>
      <c r="AF201" s="57"/>
      <c r="AG201" s="57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57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  <c r="BY201" s="61"/>
      <c r="BZ201" s="61"/>
      <c r="CA201" s="61"/>
      <c r="CB201" s="61"/>
      <c r="CC201" s="61"/>
      <c r="CD201" s="61"/>
      <c r="CE201" s="61"/>
      <c r="CF201" s="63"/>
    </row>
    <row r="202" spans="1:84" ht="15.75" x14ac:dyDescent="0.25">
      <c r="A202" s="149" t="s">
        <v>327</v>
      </c>
      <c r="B202" s="150"/>
      <c r="C202" s="25"/>
      <c r="D202" s="180" t="s">
        <v>978</v>
      </c>
      <c r="E202" s="150"/>
      <c r="F202" s="16"/>
      <c r="G202" s="16"/>
      <c r="H202" s="65" t="s">
        <v>330</v>
      </c>
      <c r="I202" s="136">
        <v>0.8</v>
      </c>
      <c r="J202" s="17" t="s">
        <v>79</v>
      </c>
      <c r="K202" s="142">
        <v>46209</v>
      </c>
      <c r="L202" s="142">
        <v>46225</v>
      </c>
      <c r="M202" s="19"/>
      <c r="N202" s="20"/>
      <c r="O202" s="61"/>
      <c r="P202" s="61"/>
      <c r="Q202" s="67"/>
      <c r="R202" s="67"/>
      <c r="S202" s="67"/>
      <c r="T202" s="67"/>
      <c r="U202" s="67"/>
      <c r="V202" s="67"/>
      <c r="W202" s="67"/>
      <c r="X202" s="67"/>
      <c r="Y202" s="67"/>
      <c r="Z202" s="61"/>
      <c r="AA202" s="61"/>
      <c r="AB202" s="57"/>
      <c r="AC202" s="57"/>
      <c r="AD202" s="57"/>
      <c r="AE202" s="57"/>
      <c r="AF202" s="57"/>
      <c r="AG202" s="57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57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  <c r="BY202" s="61"/>
      <c r="BZ202" s="61"/>
      <c r="CA202" s="61"/>
      <c r="CB202" s="61"/>
      <c r="CC202" s="61"/>
      <c r="CD202" s="61"/>
      <c r="CE202" s="61"/>
      <c r="CF202" s="63"/>
    </row>
    <row r="203" spans="1:84" ht="15.75" x14ac:dyDescent="0.25">
      <c r="A203" s="149" t="s">
        <v>327</v>
      </c>
      <c r="B203" s="150" t="s">
        <v>343</v>
      </c>
      <c r="C203" s="25"/>
      <c r="D203" s="181" t="s">
        <v>345</v>
      </c>
      <c r="E203" s="150"/>
      <c r="F203" s="16" t="s">
        <v>13</v>
      </c>
      <c r="G203" s="16" t="s">
        <v>13</v>
      </c>
      <c r="H203" s="65" t="s">
        <v>330</v>
      </c>
      <c r="I203" s="136">
        <f>AVERAGE(I204:I206,I214)</f>
        <v>0.61250000000000004</v>
      </c>
      <c r="J203" s="17" t="s">
        <v>79</v>
      </c>
      <c r="K203" s="142">
        <v>46209</v>
      </c>
      <c r="L203" s="142">
        <v>46239</v>
      </c>
      <c r="M203" s="19"/>
      <c r="N203" s="20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7"/>
      <c r="Z203" s="67"/>
      <c r="AA203" s="67"/>
      <c r="AB203" s="68"/>
      <c r="AC203" s="68"/>
      <c r="AD203" s="68"/>
      <c r="AE203" s="68"/>
      <c r="AF203" s="68"/>
      <c r="AG203" s="68"/>
      <c r="AH203" s="67"/>
      <c r="AI203" s="67"/>
      <c r="AJ203" s="67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57"/>
      <c r="BD203" s="61"/>
      <c r="BE203" s="61"/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  <c r="BY203" s="61"/>
      <c r="BZ203" s="61"/>
      <c r="CA203" s="61"/>
      <c r="CB203" s="61"/>
      <c r="CC203" s="61"/>
      <c r="CD203" s="61"/>
      <c r="CE203" s="61"/>
      <c r="CF203" s="63"/>
    </row>
    <row r="204" spans="1:84" ht="15.75" x14ac:dyDescent="0.25">
      <c r="A204" s="149" t="s">
        <v>327</v>
      </c>
      <c r="B204" s="150"/>
      <c r="C204" s="25"/>
      <c r="D204" s="180" t="s">
        <v>975</v>
      </c>
      <c r="E204" s="150"/>
      <c r="F204" s="16"/>
      <c r="G204" s="16"/>
      <c r="H204" s="65" t="s">
        <v>330</v>
      </c>
      <c r="I204" s="136">
        <v>0.8</v>
      </c>
      <c r="J204" s="17" t="s">
        <v>79</v>
      </c>
      <c r="K204" s="142">
        <v>46209</v>
      </c>
      <c r="L204" s="142">
        <v>46239</v>
      </c>
      <c r="M204" s="19"/>
      <c r="N204" s="20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7"/>
      <c r="Z204" s="67"/>
      <c r="AA204" s="67"/>
      <c r="AB204" s="68"/>
      <c r="AC204" s="68"/>
      <c r="AD204" s="68"/>
      <c r="AE204" s="68"/>
      <c r="AF204" s="68"/>
      <c r="AG204" s="68"/>
      <c r="AH204" s="67"/>
      <c r="AI204" s="67"/>
      <c r="AJ204" s="67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57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  <c r="BY204" s="61"/>
      <c r="BZ204" s="61"/>
      <c r="CA204" s="61"/>
      <c r="CB204" s="61"/>
      <c r="CC204" s="61"/>
      <c r="CD204" s="61"/>
      <c r="CE204" s="61"/>
      <c r="CF204" s="63"/>
    </row>
    <row r="205" spans="1:84" ht="15.75" x14ac:dyDescent="0.25">
      <c r="A205" s="149" t="s">
        <v>327</v>
      </c>
      <c r="B205" s="150" t="s">
        <v>949</v>
      </c>
      <c r="C205" s="25"/>
      <c r="D205" s="180" t="s">
        <v>946</v>
      </c>
      <c r="E205" s="150"/>
      <c r="F205" s="16" t="s">
        <v>13</v>
      </c>
      <c r="G205" s="16" t="s">
        <v>13</v>
      </c>
      <c r="H205" s="65" t="s">
        <v>330</v>
      </c>
      <c r="I205" s="136">
        <v>0.8</v>
      </c>
      <c r="J205" s="17" t="s">
        <v>79</v>
      </c>
      <c r="K205" s="142">
        <v>46209</v>
      </c>
      <c r="L205" s="142">
        <v>46239</v>
      </c>
      <c r="M205" s="19"/>
      <c r="N205" s="20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7"/>
      <c r="Z205" s="67"/>
      <c r="AA205" s="67"/>
      <c r="AB205" s="68"/>
      <c r="AC205" s="68"/>
      <c r="AD205" s="68"/>
      <c r="AE205" s="68"/>
      <c r="AF205" s="68"/>
      <c r="AG205" s="68"/>
      <c r="AH205" s="67"/>
      <c r="AI205" s="67"/>
      <c r="AJ205" s="67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57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  <c r="BY205" s="61"/>
      <c r="BZ205" s="61"/>
      <c r="CA205" s="61"/>
      <c r="CB205" s="61"/>
      <c r="CC205" s="61"/>
      <c r="CD205" s="61"/>
      <c r="CE205" s="61"/>
      <c r="CF205" s="63"/>
    </row>
    <row r="206" spans="1:84" ht="15.75" x14ac:dyDescent="0.25">
      <c r="A206" s="149" t="s">
        <v>327</v>
      </c>
      <c r="B206" s="150" t="s">
        <v>950</v>
      </c>
      <c r="C206" s="25"/>
      <c r="D206" s="180" t="s">
        <v>947</v>
      </c>
      <c r="E206" s="150"/>
      <c r="F206" s="16" t="s">
        <v>13</v>
      </c>
      <c r="G206" s="16" t="s">
        <v>13</v>
      </c>
      <c r="H206" s="65" t="s">
        <v>330</v>
      </c>
      <c r="I206" s="136">
        <v>0.8</v>
      </c>
      <c r="J206" s="17" t="s">
        <v>79</v>
      </c>
      <c r="K206" s="142">
        <v>46209</v>
      </c>
      <c r="L206" s="142">
        <v>46239</v>
      </c>
      <c r="M206" s="19"/>
      <c r="N206" s="20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7"/>
      <c r="Z206" s="67"/>
      <c r="AA206" s="67"/>
      <c r="AB206" s="68"/>
      <c r="AC206" s="68"/>
      <c r="AD206" s="68"/>
      <c r="AE206" s="68"/>
      <c r="AF206" s="68"/>
      <c r="AG206" s="68"/>
      <c r="AH206" s="67"/>
      <c r="AI206" s="67"/>
      <c r="AJ206" s="67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57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  <c r="BY206" s="61"/>
      <c r="BZ206" s="61"/>
      <c r="CA206" s="61"/>
      <c r="CB206" s="61"/>
      <c r="CC206" s="61"/>
      <c r="CD206" s="61"/>
      <c r="CE206" s="61"/>
      <c r="CF206" s="63"/>
    </row>
    <row r="207" spans="1:84" ht="15.75" x14ac:dyDescent="0.25">
      <c r="A207" s="149" t="s">
        <v>327</v>
      </c>
      <c r="B207" s="150" t="s">
        <v>951</v>
      </c>
      <c r="C207" s="25"/>
      <c r="D207" s="180" t="s">
        <v>940</v>
      </c>
      <c r="E207" s="150"/>
      <c r="F207" s="16" t="s">
        <v>13</v>
      </c>
      <c r="G207" s="16" t="s">
        <v>13</v>
      </c>
      <c r="H207" s="65" t="s">
        <v>330</v>
      </c>
      <c r="I207" s="136">
        <f>AVERAGE(I208:I209)</f>
        <v>0.53749999999999998</v>
      </c>
      <c r="J207" s="17" t="s">
        <v>79</v>
      </c>
      <c r="K207" s="142">
        <v>46209</v>
      </c>
      <c r="L207" s="142">
        <v>46239</v>
      </c>
      <c r="M207" s="19"/>
      <c r="N207" s="20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7"/>
      <c r="Z207" s="67"/>
      <c r="AA207" s="67"/>
      <c r="AB207" s="68"/>
      <c r="AC207" s="68"/>
      <c r="AD207" s="68"/>
      <c r="AE207" s="68"/>
      <c r="AF207" s="68"/>
      <c r="AG207" s="68"/>
      <c r="AH207" s="67"/>
      <c r="AI207" s="67"/>
      <c r="AJ207" s="67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57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  <c r="BY207" s="61"/>
      <c r="BZ207" s="61"/>
      <c r="CA207" s="61"/>
      <c r="CB207" s="61"/>
      <c r="CC207" s="61"/>
      <c r="CD207" s="61"/>
      <c r="CE207" s="61"/>
      <c r="CF207" s="63"/>
    </row>
    <row r="208" spans="1:84" ht="15.75" x14ac:dyDescent="0.25">
      <c r="A208" s="149" t="s">
        <v>327</v>
      </c>
      <c r="B208" s="150" t="s">
        <v>952</v>
      </c>
      <c r="C208" s="25"/>
      <c r="D208" s="82" t="s">
        <v>948</v>
      </c>
      <c r="E208" s="150"/>
      <c r="F208" s="16" t="s">
        <v>13</v>
      </c>
      <c r="G208" s="16" t="s">
        <v>13</v>
      </c>
      <c r="H208" s="65" t="s">
        <v>330</v>
      </c>
      <c r="I208" s="136">
        <v>0.7</v>
      </c>
      <c r="J208" s="17" t="s">
        <v>79</v>
      </c>
      <c r="K208" s="142">
        <v>46209</v>
      </c>
      <c r="L208" s="142">
        <v>46239</v>
      </c>
      <c r="M208" s="19"/>
      <c r="N208" s="20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7"/>
      <c r="Z208" s="67"/>
      <c r="AA208" s="67"/>
      <c r="AB208" s="68"/>
      <c r="AC208" s="68"/>
      <c r="AD208" s="68"/>
      <c r="AE208" s="68"/>
      <c r="AF208" s="68"/>
      <c r="AG208" s="68"/>
      <c r="AH208" s="67"/>
      <c r="AI208" s="67"/>
      <c r="AJ208" s="67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57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  <c r="BY208" s="61"/>
      <c r="BZ208" s="61"/>
      <c r="CA208" s="61"/>
      <c r="CB208" s="61"/>
      <c r="CC208" s="61"/>
      <c r="CD208" s="61"/>
      <c r="CE208" s="61"/>
      <c r="CF208" s="63"/>
    </row>
    <row r="209" spans="1:84" ht="15.75" x14ac:dyDescent="0.25">
      <c r="A209" s="149" t="s">
        <v>327</v>
      </c>
      <c r="B209" s="150" t="s">
        <v>953</v>
      </c>
      <c r="C209" s="25"/>
      <c r="D209" s="82" t="s">
        <v>942</v>
      </c>
      <c r="E209" s="150"/>
      <c r="F209" s="16" t="s">
        <v>13</v>
      </c>
      <c r="G209" s="16" t="s">
        <v>13</v>
      </c>
      <c r="H209" s="65" t="s">
        <v>330</v>
      </c>
      <c r="I209" s="136">
        <f>AVERAGE(I210,I213)</f>
        <v>0.375</v>
      </c>
      <c r="J209" s="17" t="s">
        <v>79</v>
      </c>
      <c r="K209" s="142">
        <v>46209</v>
      </c>
      <c r="L209" s="142">
        <v>46239</v>
      </c>
      <c r="M209" s="19"/>
      <c r="N209" s="20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7"/>
      <c r="Z209" s="67"/>
      <c r="AA209" s="67"/>
      <c r="AB209" s="68"/>
      <c r="AC209" s="68"/>
      <c r="AD209" s="68"/>
      <c r="AE209" s="68"/>
      <c r="AF209" s="68"/>
      <c r="AG209" s="68"/>
      <c r="AH209" s="67"/>
      <c r="AI209" s="67"/>
      <c r="AJ209" s="67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57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  <c r="BY209" s="61"/>
      <c r="BZ209" s="61"/>
      <c r="CA209" s="61"/>
      <c r="CB209" s="61"/>
      <c r="CC209" s="61"/>
      <c r="CD209" s="61"/>
      <c r="CE209" s="61"/>
      <c r="CF209" s="63"/>
    </row>
    <row r="210" spans="1:84" ht="15.75" x14ac:dyDescent="0.25">
      <c r="A210" s="149" t="s">
        <v>327</v>
      </c>
      <c r="B210" s="150" t="s">
        <v>954</v>
      </c>
      <c r="C210" s="25"/>
      <c r="D210" s="177" t="s">
        <v>943</v>
      </c>
      <c r="E210" s="150"/>
      <c r="F210" s="16" t="s">
        <v>13</v>
      </c>
      <c r="G210" s="16" t="s">
        <v>13</v>
      </c>
      <c r="H210" s="65" t="s">
        <v>330</v>
      </c>
      <c r="I210" s="136">
        <f>AVERAGE(I211)</f>
        <v>0.7</v>
      </c>
      <c r="J210" s="17" t="s">
        <v>79</v>
      </c>
      <c r="K210" s="142">
        <v>46209</v>
      </c>
      <c r="L210" s="142">
        <v>46239</v>
      </c>
      <c r="M210" s="19"/>
      <c r="N210" s="20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7"/>
      <c r="Z210" s="67"/>
      <c r="AA210" s="67"/>
      <c r="AB210" s="68"/>
      <c r="AC210" s="68"/>
      <c r="AD210" s="68"/>
      <c r="AE210" s="68"/>
      <c r="AF210" s="68"/>
      <c r="AG210" s="68"/>
      <c r="AH210" s="67"/>
      <c r="AI210" s="67"/>
      <c r="AJ210" s="67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57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  <c r="BY210" s="61"/>
      <c r="BZ210" s="61"/>
      <c r="CA210" s="61"/>
      <c r="CB210" s="61"/>
      <c r="CC210" s="61"/>
      <c r="CD210" s="61"/>
      <c r="CE210" s="61"/>
      <c r="CF210" s="63"/>
    </row>
    <row r="211" spans="1:84" ht="15.75" x14ac:dyDescent="0.25">
      <c r="A211" s="149" t="s">
        <v>327</v>
      </c>
      <c r="B211" s="150" t="s">
        <v>956</v>
      </c>
      <c r="C211" s="25"/>
      <c r="D211" s="178" t="s">
        <v>941</v>
      </c>
      <c r="E211" s="150"/>
      <c r="F211" s="16" t="s">
        <v>13</v>
      </c>
      <c r="G211" s="16" t="s">
        <v>13</v>
      </c>
      <c r="H211" s="65" t="s">
        <v>330</v>
      </c>
      <c r="I211" s="136">
        <v>0.7</v>
      </c>
      <c r="J211" s="17" t="s">
        <v>79</v>
      </c>
      <c r="K211" s="142">
        <v>46209</v>
      </c>
      <c r="L211" s="142">
        <v>46239</v>
      </c>
      <c r="M211" s="19"/>
      <c r="N211" s="20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7"/>
      <c r="Z211" s="67"/>
      <c r="AA211" s="67"/>
      <c r="AB211" s="68"/>
      <c r="AC211" s="68"/>
      <c r="AD211" s="68"/>
      <c r="AE211" s="68"/>
      <c r="AF211" s="68"/>
      <c r="AG211" s="68"/>
      <c r="AH211" s="67"/>
      <c r="AI211" s="67"/>
      <c r="AJ211" s="67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57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  <c r="BY211" s="61"/>
      <c r="BZ211" s="61"/>
      <c r="CA211" s="61"/>
      <c r="CB211" s="61"/>
      <c r="CC211" s="61"/>
      <c r="CD211" s="61"/>
      <c r="CE211" s="61"/>
      <c r="CF211" s="63"/>
    </row>
    <row r="212" spans="1:84" ht="15.75" x14ac:dyDescent="0.25">
      <c r="A212" s="149" t="s">
        <v>327</v>
      </c>
      <c r="B212" s="150" t="s">
        <v>955</v>
      </c>
      <c r="C212" s="25"/>
      <c r="D212" s="177" t="s">
        <v>944</v>
      </c>
      <c r="E212" s="150"/>
      <c r="F212" s="16" t="s">
        <v>13</v>
      </c>
      <c r="G212" s="16" t="s">
        <v>13</v>
      </c>
      <c r="H212" s="65" t="s">
        <v>330</v>
      </c>
      <c r="I212" s="136">
        <f>AVERAGE(I213)</f>
        <v>0.05</v>
      </c>
      <c r="J212" s="17" t="s">
        <v>79</v>
      </c>
      <c r="K212" s="142">
        <v>46209</v>
      </c>
      <c r="L212" s="142">
        <v>46239</v>
      </c>
      <c r="M212" s="19"/>
      <c r="N212" s="20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7"/>
      <c r="Z212" s="67"/>
      <c r="AA212" s="67"/>
      <c r="AB212" s="68"/>
      <c r="AC212" s="68"/>
      <c r="AD212" s="68"/>
      <c r="AE212" s="68"/>
      <c r="AF212" s="68"/>
      <c r="AG212" s="68"/>
      <c r="AH212" s="67"/>
      <c r="AI212" s="67"/>
      <c r="AJ212" s="67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57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  <c r="BY212" s="61"/>
      <c r="BZ212" s="61"/>
      <c r="CA212" s="61"/>
      <c r="CB212" s="61"/>
      <c r="CC212" s="61"/>
      <c r="CD212" s="61"/>
      <c r="CE212" s="61"/>
      <c r="CF212" s="63"/>
    </row>
    <row r="213" spans="1:84" ht="15.75" x14ac:dyDescent="0.25">
      <c r="A213" s="149" t="s">
        <v>327</v>
      </c>
      <c r="B213" s="150" t="s">
        <v>957</v>
      </c>
      <c r="C213" s="25"/>
      <c r="D213" s="178" t="s">
        <v>945</v>
      </c>
      <c r="E213" s="150"/>
      <c r="F213" s="16" t="s">
        <v>13</v>
      </c>
      <c r="G213" s="16" t="s">
        <v>13</v>
      </c>
      <c r="H213" s="65" t="s">
        <v>330</v>
      </c>
      <c r="I213" s="136">
        <v>0.05</v>
      </c>
      <c r="J213" s="17" t="s">
        <v>79</v>
      </c>
      <c r="K213" s="142">
        <v>46209</v>
      </c>
      <c r="L213" s="142">
        <v>46239</v>
      </c>
      <c r="M213" s="19"/>
      <c r="N213" s="20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7"/>
      <c r="Z213" s="67"/>
      <c r="AA213" s="67"/>
      <c r="AB213" s="68"/>
      <c r="AC213" s="68"/>
      <c r="AD213" s="68"/>
      <c r="AE213" s="68"/>
      <c r="AF213" s="68"/>
      <c r="AG213" s="68"/>
      <c r="AH213" s="67"/>
      <c r="AI213" s="67"/>
      <c r="AJ213" s="67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57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  <c r="BZ213" s="61"/>
      <c r="CA213" s="61"/>
      <c r="CB213" s="61"/>
      <c r="CC213" s="61"/>
      <c r="CD213" s="61"/>
      <c r="CE213" s="61"/>
      <c r="CF213" s="63"/>
    </row>
    <row r="214" spans="1:84" ht="15.75" x14ac:dyDescent="0.25">
      <c r="A214" s="149" t="s">
        <v>327</v>
      </c>
      <c r="B214" s="150" t="s">
        <v>973</v>
      </c>
      <c r="C214" s="25"/>
      <c r="D214" s="180" t="s">
        <v>938</v>
      </c>
      <c r="E214" s="150"/>
      <c r="F214" s="16"/>
      <c r="G214" s="16"/>
      <c r="H214" s="65" t="s">
        <v>330</v>
      </c>
      <c r="I214" s="136">
        <v>0.05</v>
      </c>
      <c r="J214" s="17" t="s">
        <v>79</v>
      </c>
      <c r="K214" s="142">
        <v>46209</v>
      </c>
      <c r="L214" s="142">
        <v>46239</v>
      </c>
      <c r="M214" s="19"/>
      <c r="N214" s="20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7"/>
      <c r="Z214" s="67"/>
      <c r="AA214" s="67"/>
      <c r="AB214" s="68"/>
      <c r="AC214" s="68"/>
      <c r="AD214" s="68"/>
      <c r="AE214" s="68"/>
      <c r="AF214" s="68"/>
      <c r="AG214" s="68"/>
      <c r="AH214" s="67"/>
      <c r="AI214" s="67"/>
      <c r="AJ214" s="67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57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  <c r="BY214" s="61"/>
      <c r="BZ214" s="61"/>
      <c r="CA214" s="61"/>
      <c r="CB214" s="61"/>
      <c r="CC214" s="61"/>
      <c r="CD214" s="61"/>
      <c r="CE214" s="61"/>
      <c r="CF214" s="63"/>
    </row>
    <row r="215" spans="1:84" ht="15.75" x14ac:dyDescent="0.25">
      <c r="A215" s="149" t="s">
        <v>327</v>
      </c>
      <c r="B215" s="150" t="s">
        <v>348</v>
      </c>
      <c r="C215" s="25"/>
      <c r="D215" s="181" t="s">
        <v>176</v>
      </c>
      <c r="E215" s="150"/>
      <c r="F215" s="16" t="s">
        <v>13</v>
      </c>
      <c r="G215" s="16" t="s">
        <v>13</v>
      </c>
      <c r="H215" s="65" t="s">
        <v>330</v>
      </c>
      <c r="I215" s="136">
        <f>AVERAGE(I216,I220:I224)</f>
        <v>6.9444444444444434E-2</v>
      </c>
      <c r="J215" s="17" t="s">
        <v>79</v>
      </c>
      <c r="K215" s="142">
        <v>46209</v>
      </c>
      <c r="L215" s="142">
        <v>46239</v>
      </c>
      <c r="M215" s="19"/>
      <c r="N215" s="20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7"/>
      <c r="Z215" s="67"/>
      <c r="AA215" s="67"/>
      <c r="AB215" s="68"/>
      <c r="AC215" s="68"/>
      <c r="AD215" s="68"/>
      <c r="AE215" s="68"/>
      <c r="AF215" s="68"/>
      <c r="AG215" s="68"/>
      <c r="AH215" s="67"/>
      <c r="AI215" s="67"/>
      <c r="AJ215" s="67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57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  <c r="BY215" s="61"/>
      <c r="BZ215" s="61"/>
      <c r="CA215" s="61"/>
      <c r="CB215" s="61"/>
      <c r="CC215" s="61"/>
      <c r="CD215" s="61"/>
      <c r="CE215" s="61"/>
      <c r="CF215" s="63"/>
    </row>
    <row r="216" spans="1:84" ht="15.75" x14ac:dyDescent="0.25">
      <c r="A216" s="149" t="s">
        <v>327</v>
      </c>
      <c r="B216" s="150" t="s">
        <v>965</v>
      </c>
      <c r="C216" s="25"/>
      <c r="D216" s="180" t="s">
        <v>958</v>
      </c>
      <c r="E216" s="150"/>
      <c r="F216" s="16" t="s">
        <v>13</v>
      </c>
      <c r="G216" s="16" t="s">
        <v>13</v>
      </c>
      <c r="H216" s="65" t="s">
        <v>330</v>
      </c>
      <c r="I216" s="136">
        <f>AVERAGE(I217:I219)</f>
        <v>0.16666666666666666</v>
      </c>
      <c r="J216" s="17" t="s">
        <v>79</v>
      </c>
      <c r="K216" s="142">
        <v>46209</v>
      </c>
      <c r="L216" s="142">
        <v>46239</v>
      </c>
      <c r="M216" s="19"/>
      <c r="N216" s="20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7"/>
      <c r="Z216" s="67"/>
      <c r="AA216" s="67"/>
      <c r="AB216" s="68"/>
      <c r="AC216" s="68"/>
      <c r="AD216" s="68"/>
      <c r="AE216" s="68"/>
      <c r="AF216" s="68"/>
      <c r="AG216" s="68"/>
      <c r="AH216" s="67"/>
      <c r="AI216" s="67"/>
      <c r="AJ216" s="67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57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  <c r="BY216" s="61"/>
      <c r="BZ216" s="61"/>
      <c r="CA216" s="61"/>
      <c r="CB216" s="61"/>
      <c r="CC216" s="61"/>
      <c r="CD216" s="61"/>
      <c r="CE216" s="61"/>
      <c r="CF216" s="63"/>
    </row>
    <row r="217" spans="1:84" ht="15.75" x14ac:dyDescent="0.25">
      <c r="A217" s="149" t="s">
        <v>327</v>
      </c>
      <c r="B217" s="150" t="s">
        <v>966</v>
      </c>
      <c r="C217" s="25"/>
      <c r="D217" s="82" t="s">
        <v>959</v>
      </c>
      <c r="E217" s="150"/>
      <c r="F217" s="16" t="s">
        <v>13</v>
      </c>
      <c r="G217" s="16" t="s">
        <v>13</v>
      </c>
      <c r="H217" s="65" t="s">
        <v>330</v>
      </c>
      <c r="I217" s="136">
        <v>0.05</v>
      </c>
      <c r="J217" s="17" t="s">
        <v>79</v>
      </c>
      <c r="K217" s="142">
        <v>46209</v>
      </c>
      <c r="L217" s="142">
        <v>46239</v>
      </c>
      <c r="M217" s="19"/>
      <c r="N217" s="20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7"/>
      <c r="Z217" s="67"/>
      <c r="AA217" s="67"/>
      <c r="AB217" s="68"/>
      <c r="AC217" s="68"/>
      <c r="AD217" s="68"/>
      <c r="AE217" s="68"/>
      <c r="AF217" s="68"/>
      <c r="AG217" s="68"/>
      <c r="AH217" s="67"/>
      <c r="AI217" s="67"/>
      <c r="AJ217" s="67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57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  <c r="BY217" s="61"/>
      <c r="BZ217" s="61"/>
      <c r="CA217" s="61"/>
      <c r="CB217" s="61"/>
      <c r="CC217" s="61"/>
      <c r="CD217" s="61"/>
      <c r="CE217" s="61"/>
      <c r="CF217" s="63"/>
    </row>
    <row r="218" spans="1:84" ht="15.75" x14ac:dyDescent="0.25">
      <c r="A218" s="149" t="s">
        <v>327</v>
      </c>
      <c r="B218" s="150" t="s">
        <v>967</v>
      </c>
      <c r="C218" s="25"/>
      <c r="D218" s="82" t="s">
        <v>960</v>
      </c>
      <c r="E218" s="150"/>
      <c r="F218" s="16" t="s">
        <v>13</v>
      </c>
      <c r="G218" s="16" t="s">
        <v>13</v>
      </c>
      <c r="H218" s="65" t="s">
        <v>330</v>
      </c>
      <c r="I218" s="136">
        <v>0.05</v>
      </c>
      <c r="J218" s="17" t="s">
        <v>79</v>
      </c>
      <c r="K218" s="142">
        <v>46209</v>
      </c>
      <c r="L218" s="142">
        <v>46239</v>
      </c>
      <c r="M218" s="19"/>
      <c r="N218" s="20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7"/>
      <c r="Z218" s="67"/>
      <c r="AA218" s="67"/>
      <c r="AB218" s="68"/>
      <c r="AC218" s="68"/>
      <c r="AD218" s="68"/>
      <c r="AE218" s="68"/>
      <c r="AF218" s="68"/>
      <c r="AG218" s="68"/>
      <c r="AH218" s="67"/>
      <c r="AI218" s="67"/>
      <c r="AJ218" s="67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57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  <c r="BY218" s="61"/>
      <c r="BZ218" s="61"/>
      <c r="CA218" s="61"/>
      <c r="CB218" s="61"/>
      <c r="CC218" s="61"/>
      <c r="CD218" s="61"/>
      <c r="CE218" s="61"/>
      <c r="CF218" s="63"/>
    </row>
    <row r="219" spans="1:84" ht="15.75" x14ac:dyDescent="0.25">
      <c r="A219" s="149" t="s">
        <v>327</v>
      </c>
      <c r="B219" s="150" t="s">
        <v>968</v>
      </c>
      <c r="C219" s="25"/>
      <c r="D219" s="82" t="s">
        <v>977</v>
      </c>
      <c r="E219" s="150"/>
      <c r="F219" s="16" t="s">
        <v>13</v>
      </c>
      <c r="G219" s="16" t="s">
        <v>13</v>
      </c>
      <c r="H219" s="65" t="s">
        <v>330</v>
      </c>
      <c r="I219" s="136">
        <v>0.4</v>
      </c>
      <c r="J219" s="17" t="s">
        <v>79</v>
      </c>
      <c r="K219" s="142">
        <v>46209</v>
      </c>
      <c r="L219" s="142">
        <v>46239</v>
      </c>
      <c r="M219" s="19"/>
      <c r="N219" s="20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7"/>
      <c r="Z219" s="67"/>
      <c r="AA219" s="67"/>
      <c r="AB219" s="68"/>
      <c r="AC219" s="68"/>
      <c r="AD219" s="68"/>
      <c r="AE219" s="68"/>
      <c r="AF219" s="68"/>
      <c r="AG219" s="68"/>
      <c r="AH219" s="67"/>
      <c r="AI219" s="67"/>
      <c r="AJ219" s="67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57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  <c r="BY219" s="61"/>
      <c r="BZ219" s="61"/>
      <c r="CA219" s="61"/>
      <c r="CB219" s="61"/>
      <c r="CC219" s="61"/>
      <c r="CD219" s="61"/>
      <c r="CE219" s="61"/>
      <c r="CF219" s="63"/>
    </row>
    <row r="220" spans="1:84" ht="15.75" x14ac:dyDescent="0.25">
      <c r="A220" s="149" t="s">
        <v>327</v>
      </c>
      <c r="B220" s="150" t="s">
        <v>969</v>
      </c>
      <c r="C220" s="25"/>
      <c r="D220" s="180" t="s">
        <v>961</v>
      </c>
      <c r="E220" s="150"/>
      <c r="F220" s="16" t="s">
        <v>13</v>
      </c>
      <c r="G220" s="16" t="s">
        <v>13</v>
      </c>
      <c r="H220" s="65" t="s">
        <v>330</v>
      </c>
      <c r="I220" s="136">
        <v>0.05</v>
      </c>
      <c r="J220" s="17" t="s">
        <v>79</v>
      </c>
      <c r="K220" s="142">
        <v>46209</v>
      </c>
      <c r="L220" s="142">
        <v>46239</v>
      </c>
      <c r="M220" s="19"/>
      <c r="N220" s="20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7"/>
      <c r="Z220" s="67"/>
      <c r="AA220" s="67"/>
      <c r="AB220" s="68"/>
      <c r="AC220" s="68"/>
      <c r="AD220" s="68"/>
      <c r="AE220" s="68"/>
      <c r="AF220" s="68"/>
      <c r="AG220" s="68"/>
      <c r="AH220" s="67"/>
      <c r="AI220" s="67"/>
      <c r="AJ220" s="67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57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  <c r="BY220" s="61"/>
      <c r="BZ220" s="61"/>
      <c r="CA220" s="61"/>
      <c r="CB220" s="61"/>
      <c r="CC220" s="61"/>
      <c r="CD220" s="61"/>
      <c r="CE220" s="61"/>
      <c r="CF220" s="63"/>
    </row>
    <row r="221" spans="1:84" ht="15.75" x14ac:dyDescent="0.25">
      <c r="A221" s="149" t="s">
        <v>327</v>
      </c>
      <c r="B221" s="150" t="s">
        <v>970</v>
      </c>
      <c r="C221" s="25"/>
      <c r="D221" s="180" t="s">
        <v>962</v>
      </c>
      <c r="E221" s="150"/>
      <c r="F221" s="16" t="s">
        <v>13</v>
      </c>
      <c r="G221" s="16" t="s">
        <v>13</v>
      </c>
      <c r="H221" s="65" t="s">
        <v>330</v>
      </c>
      <c r="I221" s="136">
        <v>0.05</v>
      </c>
      <c r="J221" s="17" t="s">
        <v>79</v>
      </c>
      <c r="K221" s="142">
        <v>46209</v>
      </c>
      <c r="L221" s="142">
        <v>46239</v>
      </c>
      <c r="M221" s="19"/>
      <c r="N221" s="20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7"/>
      <c r="Z221" s="67"/>
      <c r="AA221" s="67"/>
      <c r="AB221" s="68"/>
      <c r="AC221" s="68"/>
      <c r="AD221" s="68"/>
      <c r="AE221" s="68"/>
      <c r="AF221" s="68"/>
      <c r="AG221" s="68"/>
      <c r="AH221" s="67"/>
      <c r="AI221" s="67"/>
      <c r="AJ221" s="67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57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  <c r="BY221" s="61"/>
      <c r="BZ221" s="61"/>
      <c r="CA221" s="61"/>
      <c r="CB221" s="61"/>
      <c r="CC221" s="61"/>
      <c r="CD221" s="61"/>
      <c r="CE221" s="61"/>
      <c r="CF221" s="63"/>
    </row>
    <row r="222" spans="1:84" ht="15.75" x14ac:dyDescent="0.25">
      <c r="A222" s="149" t="s">
        <v>327</v>
      </c>
      <c r="B222" s="150" t="s">
        <v>971</v>
      </c>
      <c r="C222" s="25"/>
      <c r="D222" s="180" t="s">
        <v>963</v>
      </c>
      <c r="E222" s="150"/>
      <c r="F222" s="16" t="s">
        <v>13</v>
      </c>
      <c r="G222" s="16" t="s">
        <v>13</v>
      </c>
      <c r="H222" s="65" t="s">
        <v>330</v>
      </c>
      <c r="I222" s="136">
        <v>0.05</v>
      </c>
      <c r="J222" s="17" t="s">
        <v>79</v>
      </c>
      <c r="K222" s="142">
        <v>46209</v>
      </c>
      <c r="L222" s="142">
        <v>46239</v>
      </c>
      <c r="M222" s="19"/>
      <c r="N222" s="20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7"/>
      <c r="Z222" s="67"/>
      <c r="AA222" s="67"/>
      <c r="AB222" s="68"/>
      <c r="AC222" s="68"/>
      <c r="AD222" s="68"/>
      <c r="AE222" s="68"/>
      <c r="AF222" s="68"/>
      <c r="AG222" s="68"/>
      <c r="AH222" s="67"/>
      <c r="AI222" s="67"/>
      <c r="AJ222" s="67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57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  <c r="BY222" s="61"/>
      <c r="BZ222" s="61"/>
      <c r="CA222" s="61"/>
      <c r="CB222" s="61"/>
      <c r="CC222" s="61"/>
      <c r="CD222" s="61"/>
      <c r="CE222" s="61"/>
      <c r="CF222" s="63"/>
    </row>
    <row r="223" spans="1:84" ht="15.75" x14ac:dyDescent="0.25">
      <c r="A223" s="149" t="s">
        <v>327</v>
      </c>
      <c r="B223" s="150" t="s">
        <v>972</v>
      </c>
      <c r="C223" s="25"/>
      <c r="D223" s="180" t="s">
        <v>964</v>
      </c>
      <c r="E223" s="150"/>
      <c r="F223" s="16" t="s">
        <v>13</v>
      </c>
      <c r="G223" s="16" t="s">
        <v>13</v>
      </c>
      <c r="H223" s="65" t="s">
        <v>330</v>
      </c>
      <c r="I223" s="136">
        <v>0.05</v>
      </c>
      <c r="J223" s="17" t="s">
        <v>79</v>
      </c>
      <c r="K223" s="142">
        <v>46209</v>
      </c>
      <c r="L223" s="142">
        <v>46239</v>
      </c>
      <c r="M223" s="19"/>
      <c r="N223" s="20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7"/>
      <c r="Z223" s="67"/>
      <c r="AA223" s="67"/>
      <c r="AB223" s="68"/>
      <c r="AC223" s="68"/>
      <c r="AD223" s="68"/>
      <c r="AE223" s="68"/>
      <c r="AF223" s="68"/>
      <c r="AG223" s="68"/>
      <c r="AH223" s="67"/>
      <c r="AI223" s="67"/>
      <c r="AJ223" s="67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57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  <c r="BY223" s="61"/>
      <c r="BZ223" s="61"/>
      <c r="CA223" s="61"/>
      <c r="CB223" s="61"/>
      <c r="CC223" s="61"/>
      <c r="CD223" s="61"/>
      <c r="CE223" s="61"/>
      <c r="CF223" s="63"/>
    </row>
    <row r="224" spans="1:84" ht="15.75" x14ac:dyDescent="0.25">
      <c r="A224" s="149" t="s">
        <v>327</v>
      </c>
      <c r="B224" s="150" t="s">
        <v>974</v>
      </c>
      <c r="C224" s="25"/>
      <c r="D224" s="180" t="s">
        <v>938</v>
      </c>
      <c r="E224" s="150"/>
      <c r="F224" s="16" t="s">
        <v>13</v>
      </c>
      <c r="G224" s="16" t="s">
        <v>13</v>
      </c>
      <c r="H224" s="65" t="s">
        <v>330</v>
      </c>
      <c r="I224" s="136">
        <v>0.05</v>
      </c>
      <c r="J224" s="17" t="s">
        <v>79</v>
      </c>
      <c r="K224" s="142">
        <v>46209</v>
      </c>
      <c r="L224" s="142">
        <v>46239</v>
      </c>
      <c r="M224" s="19"/>
      <c r="N224" s="20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7"/>
      <c r="Z224" s="67"/>
      <c r="AA224" s="67"/>
      <c r="AB224" s="68"/>
      <c r="AC224" s="68"/>
      <c r="AD224" s="68"/>
      <c r="AE224" s="68"/>
      <c r="AF224" s="68"/>
      <c r="AG224" s="68"/>
      <c r="AH224" s="67"/>
      <c r="AI224" s="67"/>
      <c r="AJ224" s="67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57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  <c r="BY224" s="61"/>
      <c r="BZ224" s="61"/>
      <c r="CA224" s="61"/>
      <c r="CB224" s="61"/>
      <c r="CC224" s="61"/>
      <c r="CD224" s="61"/>
      <c r="CE224" s="61"/>
      <c r="CF224" s="63"/>
    </row>
    <row r="225" spans="1:84" ht="15.75" x14ac:dyDescent="0.25">
      <c r="A225" s="149" t="s">
        <v>327</v>
      </c>
      <c r="B225" s="150" t="s">
        <v>349</v>
      </c>
      <c r="C225" s="25"/>
      <c r="D225" s="182" t="s">
        <v>350</v>
      </c>
      <c r="E225" s="150"/>
      <c r="F225" s="16" t="s">
        <v>13</v>
      </c>
      <c r="G225" s="16" t="s">
        <v>13</v>
      </c>
      <c r="H225" s="65" t="s">
        <v>330</v>
      </c>
      <c r="I225" s="136">
        <v>0.1</v>
      </c>
      <c r="J225" s="17" t="s">
        <v>79</v>
      </c>
      <c r="K225" s="142">
        <v>46209</v>
      </c>
      <c r="L225" s="142">
        <v>46234</v>
      </c>
      <c r="M225" s="19"/>
      <c r="N225" s="20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7"/>
      <c r="Z225" s="67"/>
      <c r="AA225" s="67"/>
      <c r="AB225" s="68"/>
      <c r="AC225" s="68"/>
      <c r="AD225" s="68"/>
      <c r="AE225" s="68"/>
      <c r="AF225" s="68"/>
      <c r="AG225" s="68"/>
      <c r="AH225" s="67"/>
      <c r="AI225" s="67"/>
      <c r="AJ225" s="67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57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  <c r="BY225" s="61"/>
      <c r="BZ225" s="61"/>
      <c r="CA225" s="61"/>
      <c r="CB225" s="61"/>
      <c r="CC225" s="61"/>
      <c r="CD225" s="61"/>
      <c r="CE225" s="61"/>
      <c r="CF225" s="63"/>
    </row>
    <row r="226" spans="1:84" ht="15.75" x14ac:dyDescent="0.25">
      <c r="A226" s="149" t="s">
        <v>327</v>
      </c>
      <c r="B226" s="150"/>
      <c r="C226" s="25"/>
      <c r="D226" s="182" t="s">
        <v>983</v>
      </c>
      <c r="E226" s="150"/>
      <c r="F226" s="16"/>
      <c r="G226" s="16"/>
      <c r="H226" s="65" t="s">
        <v>330</v>
      </c>
      <c r="I226" s="136">
        <v>0.2</v>
      </c>
      <c r="J226" s="17" t="s">
        <v>79</v>
      </c>
      <c r="K226" s="142">
        <v>46209</v>
      </c>
      <c r="L226" s="142">
        <v>46234</v>
      </c>
      <c r="M226" s="19"/>
      <c r="N226" s="20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7"/>
      <c r="Z226" s="67"/>
      <c r="AA226" s="67"/>
      <c r="AB226" s="68"/>
      <c r="AC226" s="68"/>
      <c r="AD226" s="68"/>
      <c r="AE226" s="68"/>
      <c r="AF226" s="68"/>
      <c r="AG226" s="68"/>
      <c r="AH226" s="67"/>
      <c r="AI226" s="67"/>
      <c r="AJ226" s="67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57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  <c r="BY226" s="61"/>
      <c r="BZ226" s="61"/>
      <c r="CA226" s="61"/>
      <c r="CB226" s="61"/>
      <c r="CC226" s="61"/>
      <c r="CD226" s="61"/>
      <c r="CE226" s="61"/>
      <c r="CF226" s="63"/>
    </row>
    <row r="227" spans="1:84" ht="15.75" x14ac:dyDescent="0.25">
      <c r="A227" s="149" t="s">
        <v>327</v>
      </c>
      <c r="B227" s="150" t="s">
        <v>351</v>
      </c>
      <c r="C227" s="173" t="s">
        <v>20</v>
      </c>
      <c r="D227" s="69" t="s">
        <v>352</v>
      </c>
      <c r="E227" s="150"/>
      <c r="F227" s="16" t="s">
        <v>13</v>
      </c>
      <c r="G227" s="16" t="s">
        <v>13</v>
      </c>
      <c r="H227" s="64" t="s">
        <v>353</v>
      </c>
      <c r="I227" s="169">
        <f>AVERAGE(I228:I235)</f>
        <v>0</v>
      </c>
      <c r="J227" s="17" t="s">
        <v>79</v>
      </c>
      <c r="K227" s="142">
        <v>46235</v>
      </c>
      <c r="L227" s="142">
        <v>46265</v>
      </c>
      <c r="M227" s="19"/>
      <c r="N227" s="20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57"/>
      <c r="AC227" s="57"/>
      <c r="AD227" s="57"/>
      <c r="AE227" s="57"/>
      <c r="AF227" s="57"/>
      <c r="AG227" s="57"/>
      <c r="AH227" s="61"/>
      <c r="AI227" s="61"/>
      <c r="AJ227" s="61"/>
      <c r="AK227" s="70"/>
      <c r="AL227" s="70"/>
      <c r="AM227" s="70"/>
      <c r="AN227" s="70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57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  <c r="BY227" s="61"/>
      <c r="BZ227" s="61"/>
      <c r="CA227" s="61"/>
      <c r="CB227" s="61"/>
      <c r="CC227" s="61"/>
      <c r="CD227" s="61"/>
      <c r="CE227" s="61"/>
      <c r="CF227" s="63"/>
    </row>
    <row r="228" spans="1:84" ht="15.75" x14ac:dyDescent="0.25">
      <c r="A228" s="149" t="s">
        <v>327</v>
      </c>
      <c r="B228" s="150" t="s">
        <v>354</v>
      </c>
      <c r="C228" s="173" t="s">
        <v>20</v>
      </c>
      <c r="D228" s="72" t="s">
        <v>342</v>
      </c>
      <c r="E228" s="150"/>
      <c r="F228" s="16" t="s">
        <v>13</v>
      </c>
      <c r="G228" s="16" t="s">
        <v>13</v>
      </c>
      <c r="H228" s="65" t="s">
        <v>353</v>
      </c>
      <c r="I228" s="136">
        <v>0</v>
      </c>
      <c r="J228" s="17" t="s">
        <v>79</v>
      </c>
      <c r="K228" s="142">
        <v>46235</v>
      </c>
      <c r="L228" s="142">
        <v>46249</v>
      </c>
      <c r="M228" s="19"/>
      <c r="N228" s="20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57"/>
      <c r="AC228" s="57"/>
      <c r="AD228" s="57"/>
      <c r="AE228" s="57"/>
      <c r="AF228" s="57"/>
      <c r="AG228" s="57"/>
      <c r="AH228" s="57"/>
      <c r="AI228" s="57"/>
      <c r="AJ228" s="57"/>
      <c r="AK228" s="68"/>
      <c r="AL228" s="67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57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  <c r="BY228" s="61"/>
      <c r="BZ228" s="61"/>
      <c r="CA228" s="61"/>
      <c r="CB228" s="61"/>
      <c r="CC228" s="61"/>
      <c r="CD228" s="61"/>
      <c r="CE228" s="61"/>
      <c r="CF228" s="63"/>
    </row>
    <row r="229" spans="1:84" ht="15.75" x14ac:dyDescent="0.25">
      <c r="A229" s="149" t="s">
        <v>327</v>
      </c>
      <c r="B229" s="150" t="s">
        <v>355</v>
      </c>
      <c r="C229" s="173" t="s">
        <v>20</v>
      </c>
      <c r="D229" s="72" t="s">
        <v>344</v>
      </c>
      <c r="E229" s="150"/>
      <c r="F229" s="16" t="s">
        <v>13</v>
      </c>
      <c r="G229" s="16" t="s">
        <v>13</v>
      </c>
      <c r="H229" s="65" t="s">
        <v>353</v>
      </c>
      <c r="I229" s="136">
        <v>0</v>
      </c>
      <c r="J229" s="17" t="s">
        <v>79</v>
      </c>
      <c r="K229" s="142">
        <v>46235</v>
      </c>
      <c r="L229" s="142">
        <v>46249</v>
      </c>
      <c r="M229" s="19"/>
      <c r="N229" s="20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57"/>
      <c r="AC229" s="57"/>
      <c r="AD229" s="57"/>
      <c r="AE229" s="57"/>
      <c r="AF229" s="57"/>
      <c r="AG229" s="57"/>
      <c r="AH229" s="57"/>
      <c r="AI229" s="57"/>
      <c r="AJ229" s="57"/>
      <c r="AK229" s="68"/>
      <c r="AL229" s="67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57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  <c r="BY229" s="61"/>
      <c r="BZ229" s="61"/>
      <c r="CA229" s="61"/>
      <c r="CB229" s="61"/>
      <c r="CC229" s="61"/>
      <c r="CD229" s="61"/>
      <c r="CE229" s="61"/>
      <c r="CF229" s="63"/>
    </row>
    <row r="230" spans="1:84" ht="15.75" x14ac:dyDescent="0.25">
      <c r="A230" s="149" t="s">
        <v>327</v>
      </c>
      <c r="B230" s="150" t="s">
        <v>356</v>
      </c>
      <c r="C230" s="173" t="s">
        <v>20</v>
      </c>
      <c r="D230" s="72" t="s">
        <v>345</v>
      </c>
      <c r="E230" s="150"/>
      <c r="F230" s="16" t="s">
        <v>13</v>
      </c>
      <c r="G230" s="16" t="s">
        <v>13</v>
      </c>
      <c r="H230" s="65" t="s">
        <v>353</v>
      </c>
      <c r="I230" s="136">
        <v>0</v>
      </c>
      <c r="J230" s="17" t="s">
        <v>79</v>
      </c>
      <c r="K230" s="142">
        <v>46249</v>
      </c>
      <c r="L230" s="142">
        <v>46265</v>
      </c>
      <c r="M230" s="19"/>
      <c r="N230" s="20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61"/>
      <c r="AM230" s="67"/>
      <c r="AN230" s="67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57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  <c r="BZ230" s="61"/>
      <c r="CA230" s="61"/>
      <c r="CB230" s="61"/>
      <c r="CC230" s="61"/>
      <c r="CD230" s="61"/>
      <c r="CE230" s="61"/>
      <c r="CF230" s="63"/>
    </row>
    <row r="231" spans="1:84" ht="15.75" x14ac:dyDescent="0.25">
      <c r="A231" s="149" t="s">
        <v>327</v>
      </c>
      <c r="B231" s="150" t="s">
        <v>357</v>
      </c>
      <c r="C231" s="173" t="s">
        <v>20</v>
      </c>
      <c r="D231" s="72" t="s">
        <v>346</v>
      </c>
      <c r="E231" s="150"/>
      <c r="F231" s="16" t="s">
        <v>13</v>
      </c>
      <c r="G231" s="16" t="s">
        <v>13</v>
      </c>
      <c r="H231" s="65" t="s">
        <v>353</v>
      </c>
      <c r="I231" s="136">
        <v>0</v>
      </c>
      <c r="J231" s="17" t="s">
        <v>79</v>
      </c>
      <c r="K231" s="142">
        <v>46249</v>
      </c>
      <c r="L231" s="142">
        <v>46265</v>
      </c>
      <c r="M231" s="19"/>
      <c r="N231" s="20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61"/>
      <c r="AM231" s="67"/>
      <c r="AN231" s="67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57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  <c r="BY231" s="61"/>
      <c r="BZ231" s="61"/>
      <c r="CA231" s="61"/>
      <c r="CB231" s="61"/>
      <c r="CC231" s="61"/>
      <c r="CD231" s="61"/>
      <c r="CE231" s="61"/>
      <c r="CF231" s="63"/>
    </row>
    <row r="232" spans="1:84" ht="15.75" x14ac:dyDescent="0.25">
      <c r="A232" s="149" t="s">
        <v>327</v>
      </c>
      <c r="B232" s="150" t="s">
        <v>358</v>
      </c>
      <c r="C232" s="173" t="s">
        <v>20</v>
      </c>
      <c r="D232" s="72" t="s">
        <v>347</v>
      </c>
      <c r="E232" s="150"/>
      <c r="F232" s="16" t="s">
        <v>13</v>
      </c>
      <c r="G232" s="16" t="s">
        <v>13</v>
      </c>
      <c r="H232" s="65" t="s">
        <v>353</v>
      </c>
      <c r="I232" s="136">
        <v>0</v>
      </c>
      <c r="J232" s="17" t="s">
        <v>79</v>
      </c>
      <c r="K232" s="142">
        <v>46249</v>
      </c>
      <c r="L232" s="142">
        <v>46265</v>
      </c>
      <c r="M232" s="19"/>
      <c r="N232" s="20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61"/>
      <c r="AM232" s="67"/>
      <c r="AN232" s="67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57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  <c r="BY232" s="61"/>
      <c r="BZ232" s="61"/>
      <c r="CA232" s="61"/>
      <c r="CB232" s="61"/>
      <c r="CC232" s="61"/>
      <c r="CD232" s="61"/>
      <c r="CE232" s="61"/>
      <c r="CF232" s="63"/>
    </row>
    <row r="233" spans="1:84" ht="15.75" x14ac:dyDescent="0.25">
      <c r="A233" s="149" t="s">
        <v>327</v>
      </c>
      <c r="B233" s="150" t="s">
        <v>359</v>
      </c>
      <c r="C233" s="173" t="s">
        <v>20</v>
      </c>
      <c r="D233" s="72" t="s">
        <v>176</v>
      </c>
      <c r="E233" s="150"/>
      <c r="F233" s="16" t="s">
        <v>13</v>
      </c>
      <c r="G233" s="16" t="s">
        <v>13</v>
      </c>
      <c r="H233" s="65" t="s">
        <v>353</v>
      </c>
      <c r="I233" s="136">
        <v>0</v>
      </c>
      <c r="J233" s="17" t="s">
        <v>79</v>
      </c>
      <c r="K233" s="142">
        <v>46249</v>
      </c>
      <c r="L233" s="142">
        <v>46265</v>
      </c>
      <c r="M233" s="19"/>
      <c r="N233" s="20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61"/>
      <c r="AM233" s="67"/>
      <c r="AN233" s="67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57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  <c r="BY233" s="61"/>
      <c r="BZ233" s="61"/>
      <c r="CA233" s="61"/>
      <c r="CB233" s="61"/>
      <c r="CC233" s="61"/>
      <c r="CD233" s="61"/>
      <c r="CE233" s="61"/>
      <c r="CF233" s="63"/>
    </row>
    <row r="234" spans="1:84" ht="15.75" x14ac:dyDescent="0.25">
      <c r="A234" s="149" t="s">
        <v>327</v>
      </c>
      <c r="B234" s="150" t="s">
        <v>360</v>
      </c>
      <c r="C234" s="173" t="s">
        <v>20</v>
      </c>
      <c r="D234" s="72" t="s">
        <v>350</v>
      </c>
      <c r="E234" s="150"/>
      <c r="F234" s="16" t="s">
        <v>13</v>
      </c>
      <c r="G234" s="16" t="s">
        <v>13</v>
      </c>
      <c r="H234" s="65" t="s">
        <v>353</v>
      </c>
      <c r="I234" s="136">
        <v>0</v>
      </c>
      <c r="J234" s="17" t="s">
        <v>79</v>
      </c>
      <c r="K234" s="142">
        <v>46249</v>
      </c>
      <c r="L234" s="142">
        <v>46265</v>
      </c>
      <c r="M234" s="19"/>
      <c r="N234" s="20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61"/>
      <c r="AM234" s="67"/>
      <c r="AN234" s="67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57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  <c r="BY234" s="61"/>
      <c r="BZ234" s="61"/>
      <c r="CA234" s="61"/>
      <c r="CB234" s="61"/>
      <c r="CC234" s="61"/>
      <c r="CD234" s="61"/>
      <c r="CE234" s="61"/>
      <c r="CF234" s="63"/>
    </row>
    <row r="235" spans="1:84" ht="15.75" x14ac:dyDescent="0.25">
      <c r="A235" s="149" t="s">
        <v>327</v>
      </c>
      <c r="B235" s="150" t="s">
        <v>361</v>
      </c>
      <c r="C235" s="173" t="s">
        <v>20</v>
      </c>
      <c r="D235" s="74" t="s">
        <v>362</v>
      </c>
      <c r="E235" s="150"/>
      <c r="F235" s="16" t="s">
        <v>13</v>
      </c>
      <c r="G235" s="16" t="s">
        <v>13</v>
      </c>
      <c r="H235" s="75" t="s">
        <v>353</v>
      </c>
      <c r="I235" s="136">
        <v>0</v>
      </c>
      <c r="J235" s="167"/>
      <c r="K235" s="142">
        <v>46249</v>
      </c>
      <c r="L235" s="142">
        <v>46265</v>
      </c>
      <c r="M235" s="76"/>
      <c r="N235" s="77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57"/>
      <c r="AH235" s="57"/>
      <c r="AI235" s="57"/>
      <c r="AJ235" s="57"/>
      <c r="AK235" s="78"/>
      <c r="AL235" s="78"/>
      <c r="AM235" s="79"/>
      <c r="AN235" s="79"/>
      <c r="AO235" s="61"/>
      <c r="AP235" s="61"/>
      <c r="AQ235" s="61"/>
      <c r="AR235" s="61"/>
      <c r="AS235" s="61"/>
      <c r="AT235" s="78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  <c r="BJ235" s="78"/>
      <c r="BK235" s="78"/>
      <c r="BL235" s="78"/>
      <c r="BM235" s="78"/>
      <c r="BN235" s="78"/>
      <c r="BO235" s="78"/>
      <c r="BP235" s="78"/>
      <c r="BQ235" s="78"/>
      <c r="BR235" s="78"/>
      <c r="BS235" s="78"/>
      <c r="BT235" s="78"/>
      <c r="BU235" s="78"/>
      <c r="BV235" s="78"/>
      <c r="BW235" s="78"/>
      <c r="BX235" s="78"/>
      <c r="BY235" s="78"/>
      <c r="BZ235" s="78"/>
      <c r="CA235" s="78"/>
      <c r="CB235" s="78"/>
      <c r="CC235" s="78"/>
      <c r="CD235" s="78"/>
      <c r="CE235" s="78"/>
      <c r="CF235" s="80"/>
    </row>
    <row r="236" spans="1:84" ht="15.75" x14ac:dyDescent="0.25">
      <c r="A236" s="149" t="s">
        <v>327</v>
      </c>
      <c r="B236" s="150" t="s">
        <v>363</v>
      </c>
      <c r="C236" s="25"/>
      <c r="D236" s="69" t="s">
        <v>364</v>
      </c>
      <c r="E236" s="150"/>
      <c r="F236" s="16" t="s">
        <v>13</v>
      </c>
      <c r="G236" s="16" t="s">
        <v>13</v>
      </c>
      <c r="H236" s="64" t="s">
        <v>353</v>
      </c>
      <c r="I236" s="169">
        <f>AVERAGE(I237:I244)</f>
        <v>0</v>
      </c>
      <c r="J236" s="17" t="s">
        <v>79</v>
      </c>
      <c r="K236" s="142">
        <v>46266</v>
      </c>
      <c r="L236" s="142">
        <v>46295</v>
      </c>
      <c r="M236" s="19"/>
      <c r="N236" s="20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57"/>
      <c r="AC236" s="57"/>
      <c r="AD236" s="57"/>
      <c r="AE236" s="57"/>
      <c r="AF236" s="57"/>
      <c r="AG236" s="57"/>
      <c r="AH236" s="61"/>
      <c r="AI236" s="61"/>
      <c r="AJ236" s="61"/>
      <c r="AK236" s="61"/>
      <c r="AL236" s="61"/>
      <c r="AM236" s="61"/>
      <c r="AN236" s="61"/>
      <c r="AO236" s="70"/>
      <c r="AP236" s="70"/>
      <c r="AQ236" s="70"/>
      <c r="AR236" s="70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57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  <c r="BY236" s="61"/>
      <c r="BZ236" s="61"/>
      <c r="CA236" s="61"/>
      <c r="CB236" s="61"/>
      <c r="CC236" s="61"/>
      <c r="CD236" s="61"/>
      <c r="CE236" s="61"/>
      <c r="CF236" s="63"/>
    </row>
    <row r="237" spans="1:84" ht="15.75" x14ac:dyDescent="0.25">
      <c r="A237" s="149" t="s">
        <v>327</v>
      </c>
      <c r="B237" s="150" t="s">
        <v>365</v>
      </c>
      <c r="C237" s="25"/>
      <c r="D237" s="72" t="s">
        <v>342</v>
      </c>
      <c r="E237" s="150"/>
      <c r="F237" s="16" t="s">
        <v>13</v>
      </c>
      <c r="G237" s="16" t="s">
        <v>13</v>
      </c>
      <c r="H237" s="65" t="s">
        <v>353</v>
      </c>
      <c r="I237" s="136">
        <v>0</v>
      </c>
      <c r="J237" s="17" t="s">
        <v>79</v>
      </c>
      <c r="K237" s="142">
        <v>46266</v>
      </c>
      <c r="L237" s="142">
        <v>46280</v>
      </c>
      <c r="M237" s="19"/>
      <c r="N237" s="20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57"/>
      <c r="AC237" s="57"/>
      <c r="AD237" s="57"/>
      <c r="AE237" s="57"/>
      <c r="AF237" s="57"/>
      <c r="AG237" s="57"/>
      <c r="AH237" s="61"/>
      <c r="AI237" s="61"/>
      <c r="AJ237" s="61"/>
      <c r="AK237" s="61"/>
      <c r="AL237" s="61"/>
      <c r="AM237" s="61"/>
      <c r="AN237" s="61"/>
      <c r="AO237" s="68"/>
      <c r="AP237" s="67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57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  <c r="BY237" s="61"/>
      <c r="BZ237" s="61"/>
      <c r="CA237" s="61"/>
      <c r="CB237" s="61"/>
      <c r="CC237" s="61"/>
      <c r="CD237" s="61"/>
      <c r="CE237" s="61"/>
      <c r="CF237" s="63"/>
    </row>
    <row r="238" spans="1:84" ht="15.75" x14ac:dyDescent="0.25">
      <c r="A238" s="149" t="s">
        <v>327</v>
      </c>
      <c r="B238" s="150" t="s">
        <v>366</v>
      </c>
      <c r="C238" s="25"/>
      <c r="D238" s="72" t="s">
        <v>344</v>
      </c>
      <c r="E238" s="150"/>
      <c r="F238" s="16" t="s">
        <v>13</v>
      </c>
      <c r="G238" s="16" t="s">
        <v>13</v>
      </c>
      <c r="H238" s="65" t="s">
        <v>353</v>
      </c>
      <c r="I238" s="136">
        <v>0</v>
      </c>
      <c r="J238" s="17" t="s">
        <v>79</v>
      </c>
      <c r="K238" s="142">
        <v>46266</v>
      </c>
      <c r="L238" s="142">
        <v>46280</v>
      </c>
      <c r="M238" s="19"/>
      <c r="N238" s="20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57"/>
      <c r="AC238" s="57"/>
      <c r="AD238" s="57"/>
      <c r="AE238" s="57"/>
      <c r="AF238" s="57"/>
      <c r="AG238" s="57"/>
      <c r="AH238" s="61"/>
      <c r="AI238" s="61"/>
      <c r="AJ238" s="61"/>
      <c r="AK238" s="61"/>
      <c r="AL238" s="61"/>
      <c r="AM238" s="61"/>
      <c r="AN238" s="61"/>
      <c r="AO238" s="68"/>
      <c r="AP238" s="67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57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  <c r="BY238" s="61"/>
      <c r="BZ238" s="61"/>
      <c r="CA238" s="61"/>
      <c r="CB238" s="61"/>
      <c r="CC238" s="61"/>
      <c r="CD238" s="61"/>
      <c r="CE238" s="61"/>
      <c r="CF238" s="63"/>
    </row>
    <row r="239" spans="1:84" ht="15.75" x14ac:dyDescent="0.25">
      <c r="A239" s="149" t="s">
        <v>327</v>
      </c>
      <c r="B239" s="150" t="s">
        <v>367</v>
      </c>
      <c r="C239" s="25"/>
      <c r="D239" s="72" t="s">
        <v>345</v>
      </c>
      <c r="E239" s="150"/>
      <c r="F239" s="16" t="s">
        <v>13</v>
      </c>
      <c r="G239" s="16" t="s">
        <v>13</v>
      </c>
      <c r="H239" s="65" t="s">
        <v>353</v>
      </c>
      <c r="I239" s="136">
        <v>0</v>
      </c>
      <c r="J239" s="17" t="s">
        <v>79</v>
      </c>
      <c r="K239" s="142">
        <v>46280</v>
      </c>
      <c r="L239" s="142">
        <v>46295</v>
      </c>
      <c r="M239" s="19"/>
      <c r="N239" s="20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57"/>
      <c r="AC239" s="57"/>
      <c r="AD239" s="57"/>
      <c r="AE239" s="57"/>
      <c r="AF239" s="57"/>
      <c r="AG239" s="57"/>
      <c r="AH239" s="61"/>
      <c r="AI239" s="61"/>
      <c r="AJ239" s="61"/>
      <c r="AK239" s="61"/>
      <c r="AL239" s="61"/>
      <c r="AM239" s="61"/>
      <c r="AN239" s="61"/>
      <c r="AO239" s="57"/>
      <c r="AP239" s="61"/>
      <c r="AQ239" s="67"/>
      <c r="AR239" s="67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57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  <c r="BY239" s="61"/>
      <c r="BZ239" s="61"/>
      <c r="CA239" s="61"/>
      <c r="CB239" s="61"/>
      <c r="CC239" s="61"/>
      <c r="CD239" s="61"/>
      <c r="CE239" s="61"/>
      <c r="CF239" s="63"/>
    </row>
    <row r="240" spans="1:84" ht="15.75" x14ac:dyDescent="0.25">
      <c r="A240" s="149" t="s">
        <v>327</v>
      </c>
      <c r="B240" s="150" t="s">
        <v>368</v>
      </c>
      <c r="C240" s="25"/>
      <c r="D240" s="72" t="s">
        <v>346</v>
      </c>
      <c r="E240" s="150"/>
      <c r="F240" s="16" t="s">
        <v>13</v>
      </c>
      <c r="G240" s="16" t="s">
        <v>13</v>
      </c>
      <c r="H240" s="65" t="s">
        <v>353</v>
      </c>
      <c r="I240" s="136">
        <v>0</v>
      </c>
      <c r="J240" s="17" t="s">
        <v>79</v>
      </c>
      <c r="K240" s="142">
        <v>46280</v>
      </c>
      <c r="L240" s="142">
        <v>46295</v>
      </c>
      <c r="M240" s="19"/>
      <c r="N240" s="20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57"/>
      <c r="AC240" s="57"/>
      <c r="AD240" s="57"/>
      <c r="AE240" s="57"/>
      <c r="AF240" s="57"/>
      <c r="AG240" s="57"/>
      <c r="AH240" s="61"/>
      <c r="AI240" s="61"/>
      <c r="AJ240" s="61"/>
      <c r="AK240" s="61"/>
      <c r="AL240" s="61"/>
      <c r="AM240" s="61"/>
      <c r="AN240" s="61"/>
      <c r="AO240" s="57"/>
      <c r="AP240" s="61"/>
      <c r="AQ240" s="67"/>
      <c r="AR240" s="67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57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  <c r="BY240" s="61"/>
      <c r="BZ240" s="61"/>
      <c r="CA240" s="61"/>
      <c r="CB240" s="61"/>
      <c r="CC240" s="61"/>
      <c r="CD240" s="61"/>
      <c r="CE240" s="61"/>
      <c r="CF240" s="63"/>
    </row>
    <row r="241" spans="1:84" ht="15.75" x14ac:dyDescent="0.25">
      <c r="A241" s="149" t="s">
        <v>327</v>
      </c>
      <c r="B241" s="150" t="s">
        <v>369</v>
      </c>
      <c r="C241" s="25"/>
      <c r="D241" s="72" t="s">
        <v>347</v>
      </c>
      <c r="E241" s="150"/>
      <c r="F241" s="16" t="s">
        <v>13</v>
      </c>
      <c r="G241" s="16" t="s">
        <v>13</v>
      </c>
      <c r="H241" s="65" t="s">
        <v>353</v>
      </c>
      <c r="I241" s="136">
        <v>0</v>
      </c>
      <c r="J241" s="17" t="s">
        <v>79</v>
      </c>
      <c r="K241" s="142">
        <v>46280</v>
      </c>
      <c r="L241" s="142">
        <v>46295</v>
      </c>
      <c r="M241" s="19"/>
      <c r="N241" s="20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57"/>
      <c r="AC241" s="57"/>
      <c r="AD241" s="57"/>
      <c r="AE241" s="57"/>
      <c r="AF241" s="57"/>
      <c r="AG241" s="57"/>
      <c r="AH241" s="61"/>
      <c r="AI241" s="61"/>
      <c r="AJ241" s="61"/>
      <c r="AK241" s="61"/>
      <c r="AL241" s="61"/>
      <c r="AM241" s="61"/>
      <c r="AN241" s="61"/>
      <c r="AO241" s="57"/>
      <c r="AP241" s="61"/>
      <c r="AQ241" s="67"/>
      <c r="AR241" s="67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57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  <c r="BY241" s="61"/>
      <c r="BZ241" s="61"/>
      <c r="CA241" s="61"/>
      <c r="CB241" s="61"/>
      <c r="CC241" s="61"/>
      <c r="CD241" s="61"/>
      <c r="CE241" s="61"/>
      <c r="CF241" s="63"/>
    </row>
    <row r="242" spans="1:84" ht="15.75" x14ac:dyDescent="0.25">
      <c r="A242" s="149" t="s">
        <v>327</v>
      </c>
      <c r="B242" s="150" t="s">
        <v>370</v>
      </c>
      <c r="C242" s="25"/>
      <c r="D242" s="72" t="s">
        <v>176</v>
      </c>
      <c r="E242" s="150"/>
      <c r="F242" s="16" t="s">
        <v>13</v>
      </c>
      <c r="G242" s="16" t="s">
        <v>13</v>
      </c>
      <c r="H242" s="65" t="s">
        <v>353</v>
      </c>
      <c r="I242" s="136">
        <v>0</v>
      </c>
      <c r="J242" s="17" t="s">
        <v>79</v>
      </c>
      <c r="K242" s="142">
        <v>46280</v>
      </c>
      <c r="L242" s="142">
        <v>46295</v>
      </c>
      <c r="M242" s="19"/>
      <c r="N242" s="20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57"/>
      <c r="AC242" s="57"/>
      <c r="AD242" s="57"/>
      <c r="AE242" s="57"/>
      <c r="AF242" s="57"/>
      <c r="AG242" s="57"/>
      <c r="AH242" s="61"/>
      <c r="AI242" s="61"/>
      <c r="AJ242" s="61"/>
      <c r="AK242" s="61"/>
      <c r="AL242" s="61"/>
      <c r="AM242" s="61"/>
      <c r="AN242" s="61"/>
      <c r="AO242" s="57"/>
      <c r="AP242" s="61"/>
      <c r="AQ242" s="67"/>
      <c r="AR242" s="67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57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  <c r="BY242" s="61"/>
      <c r="BZ242" s="61"/>
      <c r="CA242" s="61"/>
      <c r="CB242" s="61"/>
      <c r="CC242" s="61"/>
      <c r="CD242" s="61"/>
      <c r="CE242" s="61"/>
      <c r="CF242" s="63"/>
    </row>
    <row r="243" spans="1:84" ht="15.75" x14ac:dyDescent="0.25">
      <c r="A243" s="149" t="s">
        <v>327</v>
      </c>
      <c r="B243" s="150" t="s">
        <v>371</v>
      </c>
      <c r="C243" s="25"/>
      <c r="D243" s="72" t="s">
        <v>350</v>
      </c>
      <c r="E243" s="150"/>
      <c r="F243" s="16" t="s">
        <v>13</v>
      </c>
      <c r="G243" s="16" t="s">
        <v>13</v>
      </c>
      <c r="H243" s="65" t="s">
        <v>353</v>
      </c>
      <c r="I243" s="136">
        <v>0</v>
      </c>
      <c r="J243" s="17" t="s">
        <v>79</v>
      </c>
      <c r="K243" s="142">
        <v>46280</v>
      </c>
      <c r="L243" s="142">
        <v>46295</v>
      </c>
      <c r="M243" s="19"/>
      <c r="N243" s="20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57"/>
      <c r="AC243" s="57"/>
      <c r="AD243" s="57"/>
      <c r="AE243" s="57"/>
      <c r="AF243" s="57"/>
      <c r="AG243" s="57"/>
      <c r="AH243" s="61"/>
      <c r="AI243" s="61"/>
      <c r="AJ243" s="61"/>
      <c r="AK243" s="61"/>
      <c r="AL243" s="61"/>
      <c r="AM243" s="61"/>
      <c r="AN243" s="61"/>
      <c r="AO243" s="57"/>
      <c r="AP243" s="61"/>
      <c r="AQ243" s="67"/>
      <c r="AR243" s="67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57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  <c r="BY243" s="61"/>
      <c r="BZ243" s="61"/>
      <c r="CA243" s="61"/>
      <c r="CB243" s="61"/>
      <c r="CC243" s="61"/>
      <c r="CD243" s="61"/>
      <c r="CE243" s="61"/>
      <c r="CF243" s="63"/>
    </row>
    <row r="244" spans="1:84" ht="15.75" x14ac:dyDescent="0.25">
      <c r="A244" s="149" t="s">
        <v>327</v>
      </c>
      <c r="B244" s="150" t="s">
        <v>372</v>
      </c>
      <c r="C244" s="73"/>
      <c r="D244" s="74" t="s">
        <v>373</v>
      </c>
      <c r="E244" s="150"/>
      <c r="F244" s="16" t="s">
        <v>13</v>
      </c>
      <c r="G244" s="16" t="s">
        <v>13</v>
      </c>
      <c r="H244" s="75" t="s">
        <v>353</v>
      </c>
      <c r="I244" s="136">
        <v>0</v>
      </c>
      <c r="J244" s="17" t="s">
        <v>79</v>
      </c>
      <c r="K244" s="142">
        <v>46280</v>
      </c>
      <c r="L244" s="142">
        <v>46295</v>
      </c>
      <c r="M244" s="76"/>
      <c r="N244" s="77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9"/>
      <c r="AR244" s="79"/>
      <c r="AS244" s="78"/>
      <c r="AT244" s="78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  <c r="BJ244" s="78"/>
      <c r="BK244" s="78"/>
      <c r="BL244" s="78"/>
      <c r="BM244" s="78"/>
      <c r="BN244" s="78"/>
      <c r="BO244" s="78"/>
      <c r="BP244" s="78"/>
      <c r="BQ244" s="78"/>
      <c r="BR244" s="78"/>
      <c r="BS244" s="78"/>
      <c r="BT244" s="78"/>
      <c r="BU244" s="78"/>
      <c r="BV244" s="78"/>
      <c r="BW244" s="78"/>
      <c r="BX244" s="78"/>
      <c r="BY244" s="78"/>
      <c r="BZ244" s="78"/>
      <c r="CA244" s="78"/>
      <c r="CB244" s="78"/>
      <c r="CC244" s="78"/>
      <c r="CD244" s="78"/>
      <c r="CE244" s="78"/>
      <c r="CF244" s="80"/>
    </row>
    <row r="245" spans="1:84" ht="15.75" x14ac:dyDescent="0.25">
      <c r="A245" s="149" t="s">
        <v>327</v>
      </c>
      <c r="B245" s="150" t="s">
        <v>374</v>
      </c>
      <c r="C245" s="25"/>
      <c r="D245" s="69" t="s">
        <v>375</v>
      </c>
      <c r="E245" s="150"/>
      <c r="F245" s="16" t="s">
        <v>13</v>
      </c>
      <c r="G245" s="16" t="s">
        <v>13</v>
      </c>
      <c r="H245" s="64" t="s">
        <v>353</v>
      </c>
      <c r="I245" s="169">
        <f>AVERAGE(I246:I252)</f>
        <v>0</v>
      </c>
      <c r="J245" s="17" t="s">
        <v>79</v>
      </c>
      <c r="K245" s="142">
        <v>46296</v>
      </c>
      <c r="L245" s="142">
        <v>46326</v>
      </c>
      <c r="M245" s="19"/>
      <c r="N245" s="20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57"/>
      <c r="AC245" s="57"/>
      <c r="AD245" s="57"/>
      <c r="AE245" s="57"/>
      <c r="AF245" s="57"/>
      <c r="AG245" s="57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70"/>
      <c r="AT245" s="70"/>
      <c r="AU245" s="70"/>
      <c r="AV245" s="70"/>
      <c r="AW245" s="61"/>
      <c r="AX245" s="61"/>
      <c r="AY245" s="61"/>
      <c r="AZ245" s="61"/>
      <c r="BA245" s="61"/>
      <c r="BB245" s="61"/>
      <c r="BC245" s="57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  <c r="BY245" s="61"/>
      <c r="BZ245" s="61"/>
      <c r="CA245" s="61"/>
      <c r="CB245" s="61"/>
      <c r="CC245" s="61"/>
      <c r="CD245" s="61"/>
      <c r="CE245" s="61"/>
      <c r="CF245" s="63"/>
    </row>
    <row r="246" spans="1:84" ht="15.75" x14ac:dyDescent="0.25">
      <c r="A246" s="149" t="s">
        <v>327</v>
      </c>
      <c r="B246" s="150" t="s">
        <v>376</v>
      </c>
      <c r="C246" s="25"/>
      <c r="D246" s="72" t="s">
        <v>342</v>
      </c>
      <c r="E246" s="150"/>
      <c r="F246" s="16" t="s">
        <v>13</v>
      </c>
      <c r="G246" s="16" t="s">
        <v>13</v>
      </c>
      <c r="H246" s="65" t="s">
        <v>353</v>
      </c>
      <c r="I246" s="136">
        <v>0</v>
      </c>
      <c r="J246" s="17" t="s">
        <v>79</v>
      </c>
      <c r="K246" s="142">
        <v>46296</v>
      </c>
      <c r="L246" s="142">
        <v>46310</v>
      </c>
      <c r="M246" s="19"/>
      <c r="N246" s="20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57"/>
      <c r="AC246" s="57"/>
      <c r="AD246" s="57"/>
      <c r="AE246" s="57"/>
      <c r="AF246" s="57"/>
      <c r="AG246" s="57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8"/>
      <c r="AT246" s="67"/>
      <c r="AU246" s="61"/>
      <c r="AV246" s="61"/>
      <c r="AW246" s="61"/>
      <c r="AX246" s="61"/>
      <c r="AY246" s="61"/>
      <c r="AZ246" s="61"/>
      <c r="BA246" s="61"/>
      <c r="BB246" s="61"/>
      <c r="BC246" s="57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  <c r="BY246" s="61"/>
      <c r="BZ246" s="61"/>
      <c r="CA246" s="61"/>
      <c r="CB246" s="61"/>
      <c r="CC246" s="61"/>
      <c r="CD246" s="61"/>
      <c r="CE246" s="61"/>
      <c r="CF246" s="63"/>
    </row>
    <row r="247" spans="1:84" ht="15.75" x14ac:dyDescent="0.25">
      <c r="A247" s="149" t="s">
        <v>327</v>
      </c>
      <c r="B247" s="150" t="s">
        <v>377</v>
      </c>
      <c r="C247" s="25"/>
      <c r="D247" s="72" t="s">
        <v>344</v>
      </c>
      <c r="E247" s="150"/>
      <c r="F247" s="16" t="s">
        <v>13</v>
      </c>
      <c r="G247" s="16" t="s">
        <v>13</v>
      </c>
      <c r="H247" s="65" t="s">
        <v>353</v>
      </c>
      <c r="I247" s="136">
        <v>0</v>
      </c>
      <c r="J247" s="17" t="s">
        <v>79</v>
      </c>
      <c r="K247" s="142">
        <v>46296</v>
      </c>
      <c r="L247" s="142">
        <v>46310</v>
      </c>
      <c r="M247" s="19"/>
      <c r="N247" s="20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57"/>
      <c r="AC247" s="57"/>
      <c r="AD247" s="57"/>
      <c r="AE247" s="57"/>
      <c r="AF247" s="57"/>
      <c r="AG247" s="57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8"/>
      <c r="AT247" s="67"/>
      <c r="AU247" s="61"/>
      <c r="AV247" s="61"/>
      <c r="AW247" s="61"/>
      <c r="AX247" s="61"/>
      <c r="AY247" s="61"/>
      <c r="AZ247" s="61"/>
      <c r="BA247" s="61"/>
      <c r="BB247" s="61"/>
      <c r="BC247" s="57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  <c r="BY247" s="61"/>
      <c r="BZ247" s="61"/>
      <c r="CA247" s="61"/>
      <c r="CB247" s="61"/>
      <c r="CC247" s="61"/>
      <c r="CD247" s="61"/>
      <c r="CE247" s="61"/>
      <c r="CF247" s="63"/>
    </row>
    <row r="248" spans="1:84" ht="15.75" x14ac:dyDescent="0.25">
      <c r="A248" s="149" t="s">
        <v>327</v>
      </c>
      <c r="B248" s="150" t="s">
        <v>378</v>
      </c>
      <c r="C248" s="25"/>
      <c r="D248" s="72" t="s">
        <v>345</v>
      </c>
      <c r="E248" s="150"/>
      <c r="F248" s="16" t="s">
        <v>13</v>
      </c>
      <c r="G248" s="16" t="s">
        <v>13</v>
      </c>
      <c r="H248" s="65" t="s">
        <v>353</v>
      </c>
      <c r="I248" s="136">
        <v>0</v>
      </c>
      <c r="J248" s="17" t="s">
        <v>79</v>
      </c>
      <c r="K248" s="142">
        <v>46310</v>
      </c>
      <c r="L248" s="142">
        <v>46326</v>
      </c>
      <c r="M248" s="19"/>
      <c r="N248" s="20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57"/>
      <c r="AC248" s="57"/>
      <c r="AD248" s="57"/>
      <c r="AE248" s="57"/>
      <c r="AF248" s="57"/>
      <c r="AG248" s="57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57"/>
      <c r="AT248" s="61"/>
      <c r="AU248" s="67"/>
      <c r="AV248" s="67"/>
      <c r="AW248" s="61"/>
      <c r="AX248" s="61"/>
      <c r="AY248" s="61"/>
      <c r="AZ248" s="61"/>
      <c r="BA248" s="61"/>
      <c r="BB248" s="61"/>
      <c r="BC248" s="57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  <c r="BZ248" s="61"/>
      <c r="CA248" s="61"/>
      <c r="CB248" s="61"/>
      <c r="CC248" s="61"/>
      <c r="CD248" s="61"/>
      <c r="CE248" s="61"/>
      <c r="CF248" s="63"/>
    </row>
    <row r="249" spans="1:84" ht="15.75" x14ac:dyDescent="0.25">
      <c r="A249" s="149" t="s">
        <v>327</v>
      </c>
      <c r="B249" s="150" t="s">
        <v>379</v>
      </c>
      <c r="C249" s="25"/>
      <c r="D249" s="72" t="s">
        <v>346</v>
      </c>
      <c r="E249" s="150"/>
      <c r="F249" s="16" t="s">
        <v>13</v>
      </c>
      <c r="G249" s="16" t="s">
        <v>13</v>
      </c>
      <c r="H249" s="65" t="s">
        <v>353</v>
      </c>
      <c r="I249" s="136">
        <v>0</v>
      </c>
      <c r="J249" s="17" t="s">
        <v>79</v>
      </c>
      <c r="K249" s="142">
        <v>46310</v>
      </c>
      <c r="L249" s="142">
        <v>46326</v>
      </c>
      <c r="M249" s="19"/>
      <c r="N249" s="20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57"/>
      <c r="AC249" s="57"/>
      <c r="AD249" s="57"/>
      <c r="AE249" s="57"/>
      <c r="AF249" s="57"/>
      <c r="AG249" s="57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57"/>
      <c r="AT249" s="61"/>
      <c r="AU249" s="67"/>
      <c r="AV249" s="67"/>
      <c r="AW249" s="61"/>
      <c r="AX249" s="61"/>
      <c r="AY249" s="61"/>
      <c r="AZ249" s="61"/>
      <c r="BA249" s="61"/>
      <c r="BB249" s="61"/>
      <c r="BC249" s="57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  <c r="BY249" s="61"/>
      <c r="BZ249" s="61"/>
      <c r="CA249" s="61"/>
      <c r="CB249" s="61"/>
      <c r="CC249" s="61"/>
      <c r="CD249" s="61"/>
      <c r="CE249" s="61"/>
      <c r="CF249" s="63"/>
    </row>
    <row r="250" spans="1:84" ht="15.75" x14ac:dyDescent="0.25">
      <c r="A250" s="149" t="s">
        <v>327</v>
      </c>
      <c r="B250" s="150" t="s">
        <v>380</v>
      </c>
      <c r="C250" s="25"/>
      <c r="D250" s="72" t="s">
        <v>347</v>
      </c>
      <c r="E250" s="150"/>
      <c r="F250" s="16" t="s">
        <v>13</v>
      </c>
      <c r="G250" s="16" t="s">
        <v>13</v>
      </c>
      <c r="H250" s="65" t="s">
        <v>353</v>
      </c>
      <c r="I250" s="136">
        <v>0</v>
      </c>
      <c r="J250" s="17" t="s">
        <v>79</v>
      </c>
      <c r="K250" s="142">
        <v>46310</v>
      </c>
      <c r="L250" s="142">
        <v>46326</v>
      </c>
      <c r="M250" s="19"/>
      <c r="N250" s="20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57"/>
      <c r="AC250" s="57"/>
      <c r="AD250" s="57"/>
      <c r="AE250" s="57"/>
      <c r="AF250" s="57"/>
      <c r="AG250" s="57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57"/>
      <c r="AT250" s="61"/>
      <c r="AU250" s="67"/>
      <c r="AV250" s="67"/>
      <c r="AW250" s="61"/>
      <c r="AX250" s="61"/>
      <c r="AY250" s="61"/>
      <c r="AZ250" s="61"/>
      <c r="BA250" s="61"/>
      <c r="BB250" s="61"/>
      <c r="BC250" s="57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  <c r="BY250" s="61"/>
      <c r="BZ250" s="61"/>
      <c r="CA250" s="61"/>
      <c r="CB250" s="61"/>
      <c r="CC250" s="61"/>
      <c r="CD250" s="61"/>
      <c r="CE250" s="61"/>
      <c r="CF250" s="63"/>
    </row>
    <row r="251" spans="1:84" ht="15.75" x14ac:dyDescent="0.25">
      <c r="A251" s="149" t="s">
        <v>327</v>
      </c>
      <c r="B251" s="150" t="s">
        <v>381</v>
      </c>
      <c r="C251" s="25"/>
      <c r="D251" s="72" t="s">
        <v>176</v>
      </c>
      <c r="E251" s="150"/>
      <c r="F251" s="16" t="s">
        <v>13</v>
      </c>
      <c r="G251" s="16" t="s">
        <v>13</v>
      </c>
      <c r="H251" s="65" t="s">
        <v>353</v>
      </c>
      <c r="I251" s="136">
        <v>0</v>
      </c>
      <c r="J251" s="17" t="s">
        <v>79</v>
      </c>
      <c r="K251" s="142">
        <v>46310</v>
      </c>
      <c r="L251" s="142">
        <v>46326</v>
      </c>
      <c r="M251" s="19"/>
      <c r="N251" s="20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57"/>
      <c r="AC251" s="57"/>
      <c r="AD251" s="57"/>
      <c r="AE251" s="57"/>
      <c r="AF251" s="57"/>
      <c r="AG251" s="57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57"/>
      <c r="AT251" s="61"/>
      <c r="AU251" s="67"/>
      <c r="AV251" s="67"/>
      <c r="AW251" s="61"/>
      <c r="AX251" s="61"/>
      <c r="AY251" s="61"/>
      <c r="AZ251" s="61"/>
      <c r="BA251" s="61"/>
      <c r="BB251" s="61"/>
      <c r="BC251" s="57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  <c r="BY251" s="61"/>
      <c r="BZ251" s="61"/>
      <c r="CA251" s="61"/>
      <c r="CB251" s="61"/>
      <c r="CC251" s="61"/>
      <c r="CD251" s="61"/>
      <c r="CE251" s="61"/>
      <c r="CF251" s="63"/>
    </row>
    <row r="252" spans="1:84" ht="15.75" x14ac:dyDescent="0.25">
      <c r="A252" s="149" t="s">
        <v>327</v>
      </c>
      <c r="B252" s="150" t="s">
        <v>382</v>
      </c>
      <c r="C252" s="25"/>
      <c r="D252" s="72" t="s">
        <v>383</v>
      </c>
      <c r="E252" s="150"/>
      <c r="F252" s="16" t="s">
        <v>13</v>
      </c>
      <c r="G252" s="16" t="s">
        <v>13</v>
      </c>
      <c r="H252" s="65" t="s">
        <v>353</v>
      </c>
      <c r="I252" s="136">
        <v>0</v>
      </c>
      <c r="J252" s="17" t="s">
        <v>79</v>
      </c>
      <c r="K252" s="142">
        <v>46310</v>
      </c>
      <c r="L252" s="142">
        <v>46326</v>
      </c>
      <c r="M252" s="19"/>
      <c r="N252" s="20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57"/>
      <c r="AC252" s="57"/>
      <c r="AD252" s="57"/>
      <c r="AE252" s="57"/>
      <c r="AF252" s="57"/>
      <c r="AG252" s="57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57"/>
      <c r="AT252" s="61"/>
      <c r="AU252" s="67"/>
      <c r="AV252" s="67"/>
      <c r="AW252" s="61"/>
      <c r="AX252" s="61"/>
      <c r="AY252" s="61"/>
      <c r="AZ252" s="61"/>
      <c r="BA252" s="61"/>
      <c r="BB252" s="61"/>
      <c r="BC252" s="57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  <c r="BY252" s="61"/>
      <c r="BZ252" s="61"/>
      <c r="CA252" s="61"/>
      <c r="CB252" s="61"/>
      <c r="CC252" s="61"/>
      <c r="CD252" s="61"/>
      <c r="CE252" s="61"/>
      <c r="CF252" s="63"/>
    </row>
    <row r="253" spans="1:84" ht="23.25" customHeight="1" x14ac:dyDescent="0.25">
      <c r="A253" s="149" t="s">
        <v>327</v>
      </c>
      <c r="B253" s="150" t="s">
        <v>384</v>
      </c>
      <c r="C253" s="25"/>
      <c r="D253" s="15" t="s">
        <v>385</v>
      </c>
      <c r="E253" s="150"/>
      <c r="F253" s="16" t="s">
        <v>310</v>
      </c>
      <c r="G253" s="16" t="s">
        <v>13</v>
      </c>
      <c r="H253" s="64" t="s">
        <v>353</v>
      </c>
      <c r="I253" s="169">
        <v>0</v>
      </c>
      <c r="J253" s="17" t="s">
        <v>79</v>
      </c>
      <c r="K253" s="142">
        <v>46310</v>
      </c>
      <c r="L253" s="142">
        <v>46326</v>
      </c>
      <c r="M253" s="19"/>
      <c r="N253" s="2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78"/>
      <c r="AT253" s="78"/>
      <c r="AU253" s="67"/>
      <c r="AV253" s="67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  <c r="BW253" s="40"/>
      <c r="BX253" s="40"/>
      <c r="BY253" s="40"/>
      <c r="BZ253" s="40"/>
      <c r="CA253" s="40"/>
      <c r="CB253" s="40"/>
      <c r="CC253" s="40"/>
      <c r="CD253" s="40"/>
      <c r="CE253" s="40"/>
      <c r="CF253" s="42"/>
    </row>
    <row r="254" spans="1:84" ht="15.75" x14ac:dyDescent="0.25">
      <c r="A254" s="149" t="s">
        <v>327</v>
      </c>
      <c r="B254" s="150" t="s">
        <v>386</v>
      </c>
      <c r="C254" s="25"/>
      <c r="D254" s="15" t="s">
        <v>387</v>
      </c>
      <c r="E254" s="150"/>
      <c r="F254" s="16" t="s">
        <v>274</v>
      </c>
      <c r="G254" s="16" t="s">
        <v>13</v>
      </c>
      <c r="H254" s="64" t="s">
        <v>353</v>
      </c>
      <c r="I254" s="169">
        <v>0</v>
      </c>
      <c r="J254" s="17" t="s">
        <v>79</v>
      </c>
      <c r="K254" s="142">
        <v>46310</v>
      </c>
      <c r="L254" s="142">
        <v>46326</v>
      </c>
      <c r="M254" s="19"/>
      <c r="N254" s="2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1"/>
      <c r="AV254" s="41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  <c r="BW254" s="40"/>
      <c r="BX254" s="40"/>
      <c r="BY254" s="40"/>
      <c r="BZ254" s="40"/>
      <c r="CA254" s="40"/>
      <c r="CB254" s="40"/>
      <c r="CC254" s="40"/>
      <c r="CD254" s="40"/>
      <c r="CE254" s="40"/>
      <c r="CF254" s="42"/>
    </row>
    <row r="255" spans="1:84" ht="67.5" x14ac:dyDescent="0.25">
      <c r="A255" s="149" t="s">
        <v>327</v>
      </c>
      <c r="B255" s="150" t="s">
        <v>388</v>
      </c>
      <c r="C255" s="25"/>
      <c r="D255" s="43" t="s">
        <v>389</v>
      </c>
      <c r="E255" s="150"/>
      <c r="F255" s="16" t="s">
        <v>13</v>
      </c>
      <c r="G255" s="16" t="s">
        <v>390</v>
      </c>
      <c r="H255" s="64" t="s">
        <v>353</v>
      </c>
      <c r="I255" s="169">
        <v>0</v>
      </c>
      <c r="J255" s="17" t="s">
        <v>79</v>
      </c>
      <c r="K255" s="142">
        <v>46310</v>
      </c>
      <c r="L255" s="142">
        <v>46326</v>
      </c>
      <c r="M255" s="19"/>
      <c r="N255" s="2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81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  <c r="BW255" s="40"/>
      <c r="BX255" s="40"/>
      <c r="BY255" s="40"/>
      <c r="BZ255" s="40"/>
      <c r="CA255" s="40"/>
      <c r="CB255" s="40"/>
      <c r="CC255" s="40"/>
      <c r="CD255" s="40"/>
      <c r="CE255" s="40"/>
      <c r="CF255" s="42"/>
    </row>
    <row r="256" spans="1:84" ht="15.75" x14ac:dyDescent="0.25">
      <c r="A256" s="149" t="s">
        <v>327</v>
      </c>
      <c r="B256" s="150" t="s">
        <v>391</v>
      </c>
      <c r="C256" s="25"/>
      <c r="D256" s="15" t="s">
        <v>392</v>
      </c>
      <c r="E256" s="150"/>
      <c r="F256" s="16" t="s">
        <v>13</v>
      </c>
      <c r="G256" s="16" t="s">
        <v>13</v>
      </c>
      <c r="H256" s="64" t="s">
        <v>353</v>
      </c>
      <c r="I256" s="169">
        <f>AVERAGE(I257,I258,I259,I260,I267,I275,I283,I290,I291,I292)</f>
        <v>0</v>
      </c>
      <c r="J256" s="17" t="s">
        <v>79</v>
      </c>
      <c r="K256" s="142">
        <v>46113</v>
      </c>
      <c r="L256" s="142">
        <v>46371</v>
      </c>
      <c r="M256" s="19"/>
      <c r="N256" s="20"/>
      <c r="O256" s="61"/>
      <c r="P256" s="61"/>
      <c r="Q256" s="61"/>
      <c r="R256" s="61"/>
      <c r="S256" s="61"/>
      <c r="T256" s="61"/>
      <c r="U256" s="62"/>
      <c r="V256" s="62"/>
      <c r="W256" s="62"/>
      <c r="X256" s="62"/>
      <c r="Y256" s="62"/>
      <c r="Z256" s="62"/>
      <c r="AA256" s="62"/>
      <c r="AB256" s="66"/>
      <c r="AC256" s="66"/>
      <c r="AD256" s="66"/>
      <c r="AE256" s="66"/>
      <c r="AF256" s="66"/>
      <c r="AG256" s="66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57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  <c r="BY256" s="61"/>
      <c r="BZ256" s="61"/>
      <c r="CA256" s="61"/>
      <c r="CB256" s="61"/>
      <c r="CC256" s="61"/>
      <c r="CD256" s="61"/>
      <c r="CE256" s="61"/>
      <c r="CF256" s="63"/>
    </row>
    <row r="257" spans="1:84" ht="15.75" x14ac:dyDescent="0.25">
      <c r="A257" s="149" t="s">
        <v>327</v>
      </c>
      <c r="B257" s="150" t="s">
        <v>393</v>
      </c>
      <c r="C257" s="25"/>
      <c r="D257" s="170" t="s">
        <v>334</v>
      </c>
      <c r="E257" s="150"/>
      <c r="F257" s="16" t="s">
        <v>13</v>
      </c>
      <c r="G257" s="16" t="s">
        <v>13</v>
      </c>
      <c r="H257" s="64" t="s">
        <v>353</v>
      </c>
      <c r="I257" s="169">
        <v>0</v>
      </c>
      <c r="J257" s="17" t="s">
        <v>79</v>
      </c>
      <c r="K257" s="142">
        <v>46113</v>
      </c>
      <c r="L257" s="142">
        <v>46157</v>
      </c>
      <c r="M257" s="19"/>
      <c r="N257" s="20"/>
      <c r="O257" s="61"/>
      <c r="P257" s="61"/>
      <c r="Q257" s="61"/>
      <c r="R257" s="61"/>
      <c r="S257" s="61"/>
      <c r="T257" s="61"/>
      <c r="U257" s="67"/>
      <c r="V257" s="67"/>
      <c r="W257" s="67"/>
      <c r="X257" s="67"/>
      <c r="Y257" s="67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  <c r="BY257" s="61"/>
      <c r="BZ257" s="61"/>
      <c r="CA257" s="61"/>
      <c r="CB257" s="61"/>
      <c r="CC257" s="61"/>
      <c r="CD257" s="61"/>
      <c r="CE257" s="61"/>
      <c r="CF257" s="63"/>
    </row>
    <row r="258" spans="1:84" ht="15.75" x14ac:dyDescent="0.25">
      <c r="A258" s="149" t="s">
        <v>327</v>
      </c>
      <c r="B258" s="150" t="s">
        <v>394</v>
      </c>
      <c r="C258" s="25"/>
      <c r="D258" s="170" t="s">
        <v>395</v>
      </c>
      <c r="E258" s="150"/>
      <c r="F258" s="16" t="s">
        <v>13</v>
      </c>
      <c r="G258" s="16" t="s">
        <v>13</v>
      </c>
      <c r="H258" s="64" t="s">
        <v>353</v>
      </c>
      <c r="I258" s="169">
        <v>0</v>
      </c>
      <c r="J258" s="17" t="s">
        <v>79</v>
      </c>
      <c r="K258" s="142">
        <v>46174</v>
      </c>
      <c r="L258" s="142">
        <v>46295</v>
      </c>
      <c r="M258" s="19"/>
      <c r="N258" s="20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  <c r="BY258" s="61"/>
      <c r="BZ258" s="61"/>
      <c r="CA258" s="61"/>
      <c r="CB258" s="61"/>
      <c r="CC258" s="61"/>
      <c r="CD258" s="61"/>
      <c r="CE258" s="61"/>
      <c r="CF258" s="63"/>
    </row>
    <row r="259" spans="1:84" ht="15.75" x14ac:dyDescent="0.25">
      <c r="A259" s="149" t="s">
        <v>327</v>
      </c>
      <c r="B259" s="150" t="s">
        <v>396</v>
      </c>
      <c r="C259" s="25"/>
      <c r="D259" s="170" t="s">
        <v>338</v>
      </c>
      <c r="E259" s="150"/>
      <c r="F259" s="16" t="s">
        <v>13</v>
      </c>
      <c r="G259" s="16" t="s">
        <v>13</v>
      </c>
      <c r="H259" s="64" t="s">
        <v>353</v>
      </c>
      <c r="I259" s="169">
        <v>0</v>
      </c>
      <c r="J259" s="17" t="s">
        <v>79</v>
      </c>
      <c r="K259" s="142">
        <v>46280</v>
      </c>
      <c r="L259" s="142">
        <v>46295</v>
      </c>
      <c r="M259" s="19"/>
      <c r="N259" s="20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7"/>
      <c r="AR259" s="67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  <c r="BY259" s="61"/>
      <c r="BZ259" s="61"/>
      <c r="CA259" s="61"/>
      <c r="CB259" s="61"/>
      <c r="CC259" s="61"/>
      <c r="CD259" s="61"/>
      <c r="CE259" s="61"/>
      <c r="CF259" s="63"/>
    </row>
    <row r="260" spans="1:84" ht="15.75" x14ac:dyDescent="0.25">
      <c r="A260" s="149" t="s">
        <v>327</v>
      </c>
      <c r="B260" s="150" t="s">
        <v>397</v>
      </c>
      <c r="C260" s="25"/>
      <c r="D260" s="69" t="s">
        <v>340</v>
      </c>
      <c r="E260" s="150"/>
      <c r="F260" s="16" t="s">
        <v>13</v>
      </c>
      <c r="G260" s="16" t="s">
        <v>13</v>
      </c>
      <c r="H260" s="64" t="s">
        <v>353</v>
      </c>
      <c r="I260" s="169">
        <f>AVERAGE(I261,I265,I266)</f>
        <v>0</v>
      </c>
      <c r="J260" s="17" t="s">
        <v>79</v>
      </c>
      <c r="K260" s="142">
        <v>46174</v>
      </c>
      <c r="L260" s="142">
        <v>46295</v>
      </c>
      <c r="M260" s="19"/>
      <c r="N260" s="20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  <c r="BY260" s="61"/>
      <c r="BZ260" s="61"/>
      <c r="CA260" s="61"/>
      <c r="CB260" s="61"/>
      <c r="CC260" s="61"/>
      <c r="CD260" s="61"/>
      <c r="CE260" s="61"/>
      <c r="CF260" s="63"/>
    </row>
    <row r="261" spans="1:84" ht="15.75" x14ac:dyDescent="0.25">
      <c r="A261" s="149" t="s">
        <v>327</v>
      </c>
      <c r="B261" s="150" t="s">
        <v>398</v>
      </c>
      <c r="C261" s="25"/>
      <c r="D261" s="72" t="s">
        <v>216</v>
      </c>
      <c r="E261" s="150"/>
      <c r="F261" s="16" t="s">
        <v>13</v>
      </c>
      <c r="G261" s="16" t="s">
        <v>13</v>
      </c>
      <c r="H261" s="65" t="s">
        <v>353</v>
      </c>
      <c r="I261" s="136">
        <f>AVERAGE(I262)</f>
        <v>0</v>
      </c>
      <c r="J261" s="17" t="s">
        <v>79</v>
      </c>
      <c r="K261" s="142">
        <v>46174</v>
      </c>
      <c r="L261" s="142">
        <v>46295</v>
      </c>
      <c r="M261" s="19"/>
      <c r="N261" s="20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  <c r="BY261" s="61"/>
      <c r="BZ261" s="61"/>
      <c r="CA261" s="61"/>
      <c r="CB261" s="61"/>
      <c r="CC261" s="61"/>
      <c r="CD261" s="61"/>
      <c r="CE261" s="61"/>
      <c r="CF261" s="63"/>
    </row>
    <row r="262" spans="1:84" ht="15.75" x14ac:dyDescent="0.25">
      <c r="A262" s="149" t="s">
        <v>327</v>
      </c>
      <c r="B262" s="150" t="s">
        <v>891</v>
      </c>
      <c r="C262" s="25"/>
      <c r="D262" s="83" t="s">
        <v>408</v>
      </c>
      <c r="E262" s="150"/>
      <c r="F262" s="16"/>
      <c r="G262" s="16"/>
      <c r="H262" s="65" t="s">
        <v>353</v>
      </c>
      <c r="I262" s="136">
        <f>AVERAGE(I263:I264)</f>
        <v>0</v>
      </c>
      <c r="J262" s="17" t="s">
        <v>79</v>
      </c>
      <c r="K262" s="142">
        <v>46174</v>
      </c>
      <c r="L262" s="142">
        <v>46249</v>
      </c>
      <c r="M262" s="19"/>
      <c r="N262" s="20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  <c r="BY262" s="61"/>
      <c r="BZ262" s="61"/>
      <c r="CA262" s="61"/>
      <c r="CB262" s="61"/>
      <c r="CC262" s="61"/>
      <c r="CD262" s="61"/>
      <c r="CE262" s="61"/>
      <c r="CF262" s="63"/>
    </row>
    <row r="263" spans="1:84" ht="15.75" x14ac:dyDescent="0.25">
      <c r="A263" s="149" t="s">
        <v>327</v>
      </c>
      <c r="B263" s="150" t="s">
        <v>892</v>
      </c>
      <c r="C263" s="25"/>
      <c r="D263" s="82" t="s">
        <v>399</v>
      </c>
      <c r="E263" s="150"/>
      <c r="F263" s="16" t="s">
        <v>13</v>
      </c>
      <c r="G263" s="16" t="s">
        <v>13</v>
      </c>
      <c r="H263" s="65" t="s">
        <v>353</v>
      </c>
      <c r="I263" s="136">
        <v>0</v>
      </c>
      <c r="J263" s="17" t="s">
        <v>79</v>
      </c>
      <c r="K263" s="142">
        <v>46174</v>
      </c>
      <c r="L263" s="142">
        <v>46249</v>
      </c>
      <c r="M263" s="19"/>
      <c r="N263" s="2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1"/>
      <c r="AE263" s="41"/>
      <c r="AF263" s="41"/>
      <c r="AG263" s="41"/>
      <c r="AH263" s="41"/>
      <c r="AI263" s="41"/>
      <c r="AJ263" s="41"/>
      <c r="AK263" s="41"/>
      <c r="AL263" s="41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  <c r="BW263" s="40"/>
      <c r="BX263" s="40"/>
      <c r="BY263" s="40"/>
      <c r="BZ263" s="40"/>
      <c r="CA263" s="40"/>
      <c r="CB263" s="40"/>
      <c r="CC263" s="40"/>
      <c r="CD263" s="40"/>
      <c r="CE263" s="40"/>
      <c r="CF263" s="42"/>
    </row>
    <row r="264" spans="1:84" ht="15.75" x14ac:dyDescent="0.25">
      <c r="A264" s="149" t="s">
        <v>327</v>
      </c>
      <c r="B264" s="150" t="s">
        <v>893</v>
      </c>
      <c r="C264" s="25"/>
      <c r="D264" s="82" t="s">
        <v>400</v>
      </c>
      <c r="E264" s="150"/>
      <c r="F264" s="16" t="s">
        <v>13</v>
      </c>
      <c r="G264" s="16" t="s">
        <v>13</v>
      </c>
      <c r="H264" s="65" t="s">
        <v>353</v>
      </c>
      <c r="I264" s="136">
        <v>0</v>
      </c>
      <c r="J264" s="17" t="s">
        <v>79</v>
      </c>
      <c r="K264" s="142">
        <v>46174</v>
      </c>
      <c r="L264" s="142">
        <v>46218</v>
      </c>
      <c r="M264" s="19"/>
      <c r="N264" s="2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1"/>
      <c r="AE264" s="41"/>
      <c r="AF264" s="41"/>
      <c r="AG264" s="41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  <c r="BW264" s="40"/>
      <c r="BX264" s="40"/>
      <c r="BY264" s="40"/>
      <c r="BZ264" s="40"/>
      <c r="CA264" s="40"/>
      <c r="CB264" s="40"/>
      <c r="CC264" s="40"/>
      <c r="CD264" s="40"/>
      <c r="CE264" s="40"/>
      <c r="CF264" s="42"/>
    </row>
    <row r="265" spans="1:84" ht="15.75" x14ac:dyDescent="0.25">
      <c r="A265" s="149" t="s">
        <v>327</v>
      </c>
      <c r="B265" s="150" t="s">
        <v>401</v>
      </c>
      <c r="C265" s="25"/>
      <c r="D265" s="72" t="s">
        <v>402</v>
      </c>
      <c r="E265" s="150"/>
      <c r="F265" s="16" t="s">
        <v>13</v>
      </c>
      <c r="G265" s="16" t="s">
        <v>13</v>
      </c>
      <c r="H265" s="65" t="s">
        <v>353</v>
      </c>
      <c r="I265" s="136">
        <v>0</v>
      </c>
      <c r="J265" s="17" t="s">
        <v>79</v>
      </c>
      <c r="K265" s="142">
        <v>46204</v>
      </c>
      <c r="L265" s="142">
        <v>46295</v>
      </c>
      <c r="M265" s="19"/>
      <c r="N265" s="20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  <c r="BY265" s="61"/>
      <c r="BZ265" s="61"/>
      <c r="CA265" s="61"/>
      <c r="CB265" s="61"/>
      <c r="CC265" s="61"/>
      <c r="CD265" s="61"/>
      <c r="CE265" s="61"/>
      <c r="CF265" s="63"/>
    </row>
    <row r="266" spans="1:84" ht="15.75" x14ac:dyDescent="0.25">
      <c r="A266" s="149" t="s">
        <v>327</v>
      </c>
      <c r="B266" s="150" t="s">
        <v>403</v>
      </c>
      <c r="C266" s="25"/>
      <c r="D266" s="72" t="s">
        <v>404</v>
      </c>
      <c r="E266" s="150"/>
      <c r="F266" s="16" t="s">
        <v>13</v>
      </c>
      <c r="G266" s="16" t="s">
        <v>13</v>
      </c>
      <c r="H266" s="65" t="s">
        <v>353</v>
      </c>
      <c r="I266" s="136">
        <v>0</v>
      </c>
      <c r="J266" s="17" t="s">
        <v>79</v>
      </c>
      <c r="K266" s="142">
        <v>46204</v>
      </c>
      <c r="L266" s="142">
        <v>46295</v>
      </c>
      <c r="M266" s="19"/>
      <c r="N266" s="20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  <c r="BZ266" s="61"/>
      <c r="CA266" s="61"/>
      <c r="CB266" s="61"/>
      <c r="CC266" s="61"/>
      <c r="CD266" s="61"/>
      <c r="CE266" s="61"/>
      <c r="CF266" s="63"/>
    </row>
    <row r="267" spans="1:84" ht="15.75" x14ac:dyDescent="0.25">
      <c r="A267" s="149" t="s">
        <v>327</v>
      </c>
      <c r="B267" s="150" t="s">
        <v>405</v>
      </c>
      <c r="C267" s="173" t="s">
        <v>20</v>
      </c>
      <c r="D267" s="69" t="s">
        <v>352</v>
      </c>
      <c r="E267" s="150"/>
      <c r="F267" s="16" t="s">
        <v>13</v>
      </c>
      <c r="G267" s="16" t="s">
        <v>13</v>
      </c>
      <c r="H267" s="64" t="s">
        <v>353</v>
      </c>
      <c r="I267" s="169">
        <f>AVERAGE(I268,I272:I274)</f>
        <v>0</v>
      </c>
      <c r="J267" s="17" t="s">
        <v>79</v>
      </c>
      <c r="K267" s="142">
        <v>46296</v>
      </c>
      <c r="L267" s="142">
        <v>46326</v>
      </c>
      <c r="M267" s="19"/>
      <c r="N267" s="20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70"/>
      <c r="AT267" s="70"/>
      <c r="AU267" s="70"/>
      <c r="AV267" s="70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  <c r="BY267" s="61"/>
      <c r="BZ267" s="61"/>
      <c r="CA267" s="61"/>
      <c r="CB267" s="61"/>
      <c r="CC267" s="61"/>
      <c r="CD267" s="61"/>
      <c r="CE267" s="61"/>
      <c r="CF267" s="63"/>
    </row>
    <row r="268" spans="1:84" ht="15.75" x14ac:dyDescent="0.25">
      <c r="A268" s="149" t="s">
        <v>327</v>
      </c>
      <c r="B268" s="150" t="s">
        <v>406</v>
      </c>
      <c r="C268" s="173" t="s">
        <v>20</v>
      </c>
      <c r="D268" s="72" t="s">
        <v>216</v>
      </c>
      <c r="E268" s="150"/>
      <c r="F268" s="16" t="s">
        <v>13</v>
      </c>
      <c r="G268" s="16" t="s">
        <v>13</v>
      </c>
      <c r="H268" s="65" t="s">
        <v>353</v>
      </c>
      <c r="I268" s="136">
        <v>0</v>
      </c>
      <c r="J268" s="17" t="s">
        <v>79</v>
      </c>
      <c r="K268" s="142">
        <v>46296</v>
      </c>
      <c r="L268" s="142">
        <v>46326</v>
      </c>
      <c r="M268" s="19"/>
      <c r="N268" s="20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7"/>
      <c r="AT268" s="67"/>
      <c r="AU268" s="67"/>
      <c r="AV268" s="67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  <c r="BY268" s="61"/>
      <c r="BZ268" s="61"/>
      <c r="CA268" s="61"/>
      <c r="CB268" s="61"/>
      <c r="CC268" s="61"/>
      <c r="CD268" s="61"/>
      <c r="CE268" s="61"/>
      <c r="CF268" s="63"/>
    </row>
    <row r="269" spans="1:84" ht="15.75" x14ac:dyDescent="0.25">
      <c r="A269" s="149" t="s">
        <v>327</v>
      </c>
      <c r="B269" s="150" t="s">
        <v>407</v>
      </c>
      <c r="C269" s="173" t="s">
        <v>20</v>
      </c>
      <c r="D269" s="83" t="s">
        <v>408</v>
      </c>
      <c r="E269" s="150"/>
      <c r="F269" s="16" t="s">
        <v>13</v>
      </c>
      <c r="G269" s="16" t="s">
        <v>13</v>
      </c>
      <c r="H269" s="65" t="s">
        <v>353</v>
      </c>
      <c r="I269" s="136">
        <v>0</v>
      </c>
      <c r="J269" s="17" t="s">
        <v>79</v>
      </c>
      <c r="K269" s="142">
        <v>46296</v>
      </c>
      <c r="L269" s="142">
        <v>46326</v>
      </c>
      <c r="M269" s="19"/>
      <c r="N269" s="20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7"/>
      <c r="AT269" s="67"/>
      <c r="AU269" s="67"/>
      <c r="AV269" s="67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  <c r="BY269" s="61"/>
      <c r="BZ269" s="61"/>
      <c r="CA269" s="61"/>
      <c r="CB269" s="61"/>
      <c r="CC269" s="61"/>
      <c r="CD269" s="61"/>
      <c r="CE269" s="61"/>
      <c r="CF269" s="63"/>
    </row>
    <row r="270" spans="1:84" ht="15.75" x14ac:dyDescent="0.25">
      <c r="A270" s="149" t="s">
        <v>327</v>
      </c>
      <c r="B270" s="150" t="s">
        <v>409</v>
      </c>
      <c r="C270" s="173" t="s">
        <v>20</v>
      </c>
      <c r="D270" s="82" t="s">
        <v>399</v>
      </c>
      <c r="E270" s="150"/>
      <c r="F270" s="16" t="s">
        <v>13</v>
      </c>
      <c r="G270" s="16" t="s">
        <v>13</v>
      </c>
      <c r="H270" s="65" t="s">
        <v>353</v>
      </c>
      <c r="I270" s="136">
        <v>0</v>
      </c>
      <c r="J270" s="17" t="s">
        <v>79</v>
      </c>
      <c r="K270" s="142">
        <v>46296</v>
      </c>
      <c r="L270" s="142">
        <v>46326</v>
      </c>
      <c r="M270" s="19"/>
      <c r="N270" s="2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1"/>
      <c r="AT270" s="41"/>
      <c r="AU270" s="41"/>
      <c r="AV270" s="41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  <c r="BW270" s="40"/>
      <c r="BX270" s="40"/>
      <c r="BY270" s="40"/>
      <c r="BZ270" s="40"/>
      <c r="CA270" s="40"/>
      <c r="CB270" s="40"/>
      <c r="CC270" s="40"/>
      <c r="CD270" s="40"/>
      <c r="CE270" s="40"/>
      <c r="CF270" s="42"/>
    </row>
    <row r="271" spans="1:84" ht="15.75" x14ac:dyDescent="0.25">
      <c r="A271" s="149" t="s">
        <v>327</v>
      </c>
      <c r="B271" s="150" t="s">
        <v>410</v>
      </c>
      <c r="C271" s="173" t="s">
        <v>20</v>
      </c>
      <c r="D271" s="82" t="s">
        <v>400</v>
      </c>
      <c r="E271" s="150"/>
      <c r="F271" s="16" t="s">
        <v>13</v>
      </c>
      <c r="G271" s="16" t="s">
        <v>13</v>
      </c>
      <c r="H271" s="65" t="s">
        <v>353</v>
      </c>
      <c r="I271" s="136">
        <v>0</v>
      </c>
      <c r="J271" s="17" t="s">
        <v>79</v>
      </c>
      <c r="K271" s="142">
        <v>46296</v>
      </c>
      <c r="L271" s="142">
        <v>46326</v>
      </c>
      <c r="M271" s="19"/>
      <c r="N271" s="2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1"/>
      <c r="AT271" s="41"/>
      <c r="AU271" s="41"/>
      <c r="AV271" s="41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  <c r="BW271" s="40"/>
      <c r="BX271" s="40"/>
      <c r="BY271" s="40"/>
      <c r="BZ271" s="40"/>
      <c r="CA271" s="40"/>
      <c r="CB271" s="40"/>
      <c r="CC271" s="40"/>
      <c r="CD271" s="40"/>
      <c r="CE271" s="40"/>
      <c r="CF271" s="42"/>
    </row>
    <row r="272" spans="1:84" ht="15.75" x14ac:dyDescent="0.25">
      <c r="A272" s="149" t="s">
        <v>327</v>
      </c>
      <c r="B272" s="150" t="s">
        <v>411</v>
      </c>
      <c r="C272" s="173" t="s">
        <v>20</v>
      </c>
      <c r="D272" s="72" t="s">
        <v>402</v>
      </c>
      <c r="E272" s="150"/>
      <c r="F272" s="16" t="s">
        <v>13</v>
      </c>
      <c r="G272" s="16" t="s">
        <v>13</v>
      </c>
      <c r="H272" s="65" t="s">
        <v>353</v>
      </c>
      <c r="I272" s="136">
        <v>0</v>
      </c>
      <c r="J272" s="17" t="s">
        <v>79</v>
      </c>
      <c r="K272" s="142">
        <v>46296</v>
      </c>
      <c r="L272" s="142">
        <v>46326</v>
      </c>
      <c r="M272" s="19"/>
      <c r="N272" s="2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1"/>
      <c r="AT272" s="41"/>
      <c r="AU272" s="41"/>
      <c r="AV272" s="41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  <c r="BW272" s="40"/>
      <c r="BX272" s="40"/>
      <c r="BY272" s="40"/>
      <c r="BZ272" s="40"/>
      <c r="CA272" s="40"/>
      <c r="CB272" s="40"/>
      <c r="CC272" s="40"/>
      <c r="CD272" s="40"/>
      <c r="CE272" s="40"/>
      <c r="CF272" s="42"/>
    </row>
    <row r="273" spans="1:84" ht="15.75" x14ac:dyDescent="0.25">
      <c r="A273" s="149" t="s">
        <v>327</v>
      </c>
      <c r="B273" s="150" t="s">
        <v>412</v>
      </c>
      <c r="C273" s="173" t="s">
        <v>20</v>
      </c>
      <c r="D273" s="72" t="s">
        <v>404</v>
      </c>
      <c r="E273" s="150"/>
      <c r="F273" s="16" t="s">
        <v>13</v>
      </c>
      <c r="G273" s="16" t="s">
        <v>13</v>
      </c>
      <c r="H273" s="65" t="s">
        <v>353</v>
      </c>
      <c r="I273" s="136">
        <v>0</v>
      </c>
      <c r="J273" s="17" t="s">
        <v>79</v>
      </c>
      <c r="K273" s="142">
        <v>46296</v>
      </c>
      <c r="L273" s="142">
        <v>46326</v>
      </c>
      <c r="M273" s="19"/>
      <c r="N273" s="2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1"/>
      <c r="AT273" s="41"/>
      <c r="AU273" s="41"/>
      <c r="AV273" s="41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  <c r="BW273" s="40"/>
      <c r="BX273" s="40"/>
      <c r="BY273" s="40"/>
      <c r="BZ273" s="40"/>
      <c r="CA273" s="40"/>
      <c r="CB273" s="40"/>
      <c r="CC273" s="40"/>
      <c r="CD273" s="40"/>
      <c r="CE273" s="40"/>
      <c r="CF273" s="42"/>
    </row>
    <row r="274" spans="1:84" ht="15.75" x14ac:dyDescent="0.25">
      <c r="A274" s="149" t="s">
        <v>327</v>
      </c>
      <c r="B274" s="150" t="s">
        <v>413</v>
      </c>
      <c r="C274" s="173" t="s">
        <v>20</v>
      </c>
      <c r="D274" s="74" t="s">
        <v>362</v>
      </c>
      <c r="E274" s="150"/>
      <c r="F274" s="16" t="s">
        <v>13</v>
      </c>
      <c r="G274" s="16" t="s">
        <v>13</v>
      </c>
      <c r="H274" s="75" t="s">
        <v>353</v>
      </c>
      <c r="I274" s="136">
        <v>0</v>
      </c>
      <c r="J274" s="17" t="s">
        <v>79</v>
      </c>
      <c r="K274" s="142">
        <v>46310</v>
      </c>
      <c r="L274" s="142">
        <v>46326</v>
      </c>
      <c r="M274" s="76"/>
      <c r="N274" s="77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9"/>
      <c r="AV274" s="79"/>
      <c r="AW274" s="78"/>
      <c r="AX274" s="78"/>
      <c r="AY274" s="78"/>
      <c r="AZ274" s="78"/>
      <c r="BA274" s="78"/>
      <c r="BB274" s="78"/>
      <c r="BC274" s="78"/>
      <c r="BD274" s="78"/>
      <c r="BE274" s="78"/>
      <c r="BF274" s="78"/>
      <c r="BG274" s="78"/>
      <c r="BH274" s="78"/>
      <c r="BI274" s="78"/>
      <c r="BJ274" s="78"/>
      <c r="BK274" s="78"/>
      <c r="BL274" s="78"/>
      <c r="BM274" s="78"/>
      <c r="BN274" s="78"/>
      <c r="BO274" s="78"/>
      <c r="BP274" s="78"/>
      <c r="BQ274" s="78"/>
      <c r="BR274" s="78"/>
      <c r="BS274" s="78"/>
      <c r="BT274" s="78"/>
      <c r="BU274" s="78"/>
      <c r="BV274" s="78"/>
      <c r="BW274" s="78"/>
      <c r="BX274" s="78"/>
      <c r="BY274" s="78"/>
      <c r="BZ274" s="78"/>
      <c r="CA274" s="78"/>
      <c r="CB274" s="78"/>
      <c r="CC274" s="78"/>
      <c r="CD274" s="78"/>
      <c r="CE274" s="78"/>
      <c r="CF274" s="80"/>
    </row>
    <row r="275" spans="1:84" ht="15.75" x14ac:dyDescent="0.25">
      <c r="A275" s="149" t="s">
        <v>327</v>
      </c>
      <c r="B275" s="150" t="s">
        <v>414</v>
      </c>
      <c r="C275" s="25"/>
      <c r="D275" s="69" t="s">
        <v>364</v>
      </c>
      <c r="E275" s="150"/>
      <c r="F275" s="16" t="s">
        <v>13</v>
      </c>
      <c r="G275" s="16" t="s">
        <v>13</v>
      </c>
      <c r="H275" s="64" t="s">
        <v>353</v>
      </c>
      <c r="I275" s="169">
        <f>AVERAGE(I276,I280,I281,I282)</f>
        <v>0</v>
      </c>
      <c r="J275" s="17" t="s">
        <v>79</v>
      </c>
      <c r="K275" s="142">
        <v>46327</v>
      </c>
      <c r="L275" s="142">
        <v>46371</v>
      </c>
      <c r="M275" s="19"/>
      <c r="N275" s="20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70"/>
      <c r="AX275" s="70"/>
      <c r="AY275" s="70"/>
      <c r="AZ275" s="70"/>
      <c r="BA275" s="70"/>
      <c r="BB275" s="70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  <c r="BY275" s="61"/>
      <c r="BZ275" s="61"/>
      <c r="CA275" s="61"/>
      <c r="CB275" s="61"/>
      <c r="CC275" s="61"/>
      <c r="CD275" s="61"/>
      <c r="CE275" s="61"/>
      <c r="CF275" s="63"/>
    </row>
    <row r="276" spans="1:84" ht="15.75" x14ac:dyDescent="0.25">
      <c r="A276" s="149" t="s">
        <v>327</v>
      </c>
      <c r="B276" s="150" t="s">
        <v>415</v>
      </c>
      <c r="C276" s="25"/>
      <c r="D276" s="72" t="s">
        <v>216</v>
      </c>
      <c r="E276" s="150"/>
      <c r="F276" s="16" t="s">
        <v>13</v>
      </c>
      <c r="G276" s="16" t="s">
        <v>13</v>
      </c>
      <c r="H276" s="65" t="s">
        <v>353</v>
      </c>
      <c r="I276" s="136">
        <f>AVERAGE(I277)</f>
        <v>0</v>
      </c>
      <c r="J276" s="17" t="s">
        <v>79</v>
      </c>
      <c r="K276" s="142">
        <v>46327</v>
      </c>
      <c r="L276" s="142">
        <v>46371</v>
      </c>
      <c r="M276" s="19"/>
      <c r="N276" s="20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7"/>
      <c r="AX276" s="67"/>
      <c r="AY276" s="67"/>
      <c r="AZ276" s="67"/>
      <c r="BA276" s="67"/>
      <c r="BB276" s="67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  <c r="BY276" s="61"/>
      <c r="BZ276" s="61"/>
      <c r="CA276" s="61"/>
      <c r="CB276" s="61"/>
      <c r="CC276" s="61"/>
      <c r="CD276" s="61"/>
      <c r="CE276" s="61"/>
      <c r="CF276" s="63"/>
    </row>
    <row r="277" spans="1:84" ht="15.75" x14ac:dyDescent="0.25">
      <c r="A277" s="149" t="s">
        <v>327</v>
      </c>
      <c r="B277" s="150" t="s">
        <v>416</v>
      </c>
      <c r="C277" s="25"/>
      <c r="D277" s="83" t="s">
        <v>408</v>
      </c>
      <c r="E277" s="150"/>
      <c r="F277" s="16" t="s">
        <v>13</v>
      </c>
      <c r="G277" s="16" t="s">
        <v>13</v>
      </c>
      <c r="H277" s="65" t="s">
        <v>353</v>
      </c>
      <c r="I277" s="136">
        <f>AVERAGE(I278:I279)</f>
        <v>0</v>
      </c>
      <c r="J277" s="17" t="s">
        <v>79</v>
      </c>
      <c r="K277" s="142">
        <v>46327</v>
      </c>
      <c r="L277" s="142">
        <v>46371</v>
      </c>
      <c r="M277" s="19"/>
      <c r="N277" s="20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7"/>
      <c r="AX277" s="67"/>
      <c r="AY277" s="67"/>
      <c r="AZ277" s="67"/>
      <c r="BA277" s="67"/>
      <c r="BB277" s="67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  <c r="BY277" s="61"/>
      <c r="BZ277" s="61"/>
      <c r="CA277" s="61"/>
      <c r="CB277" s="61"/>
      <c r="CC277" s="61"/>
      <c r="CD277" s="61"/>
      <c r="CE277" s="61"/>
      <c r="CF277" s="63"/>
    </row>
    <row r="278" spans="1:84" ht="15.75" x14ac:dyDescent="0.25">
      <c r="A278" s="149" t="s">
        <v>327</v>
      </c>
      <c r="B278" s="150" t="s">
        <v>417</v>
      </c>
      <c r="C278" s="25"/>
      <c r="D278" s="82" t="s">
        <v>399</v>
      </c>
      <c r="E278" s="150"/>
      <c r="F278" s="16" t="s">
        <v>13</v>
      </c>
      <c r="G278" s="16" t="s">
        <v>13</v>
      </c>
      <c r="H278" s="65" t="s">
        <v>353</v>
      </c>
      <c r="I278" s="136">
        <v>0</v>
      </c>
      <c r="J278" s="17" t="s">
        <v>79</v>
      </c>
      <c r="K278" s="142">
        <v>46327</v>
      </c>
      <c r="L278" s="142">
        <v>46371</v>
      </c>
      <c r="M278" s="19"/>
      <c r="N278" s="2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1"/>
      <c r="AX278" s="41"/>
      <c r="AY278" s="41"/>
      <c r="AZ278" s="41"/>
      <c r="BA278" s="41"/>
      <c r="BB278" s="41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  <c r="BW278" s="40"/>
      <c r="BX278" s="40"/>
      <c r="BY278" s="40"/>
      <c r="BZ278" s="40"/>
      <c r="CA278" s="40"/>
      <c r="CB278" s="40"/>
      <c r="CC278" s="40"/>
      <c r="CD278" s="40"/>
      <c r="CE278" s="40"/>
      <c r="CF278" s="42"/>
    </row>
    <row r="279" spans="1:84" ht="15.75" x14ac:dyDescent="0.25">
      <c r="A279" s="149" t="s">
        <v>327</v>
      </c>
      <c r="B279" s="150" t="s">
        <v>418</v>
      </c>
      <c r="C279" s="25"/>
      <c r="D279" s="82" t="s">
        <v>400</v>
      </c>
      <c r="E279" s="150"/>
      <c r="F279" s="16" t="s">
        <v>13</v>
      </c>
      <c r="G279" s="16" t="s">
        <v>13</v>
      </c>
      <c r="H279" s="65" t="s">
        <v>353</v>
      </c>
      <c r="I279" s="136">
        <v>0</v>
      </c>
      <c r="J279" s="17" t="s">
        <v>79</v>
      </c>
      <c r="K279" s="142">
        <v>46327</v>
      </c>
      <c r="L279" s="142">
        <v>46371</v>
      </c>
      <c r="M279" s="19"/>
      <c r="N279" s="2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1"/>
      <c r="AX279" s="41"/>
      <c r="AY279" s="41"/>
      <c r="AZ279" s="41"/>
      <c r="BA279" s="41"/>
      <c r="BB279" s="41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  <c r="BW279" s="40"/>
      <c r="BX279" s="40"/>
      <c r="BY279" s="40"/>
      <c r="BZ279" s="40"/>
      <c r="CA279" s="40"/>
      <c r="CB279" s="40"/>
      <c r="CC279" s="40"/>
      <c r="CD279" s="40"/>
      <c r="CE279" s="40"/>
      <c r="CF279" s="42"/>
    </row>
    <row r="280" spans="1:84" ht="15.75" x14ac:dyDescent="0.25">
      <c r="A280" s="149" t="s">
        <v>327</v>
      </c>
      <c r="B280" s="150" t="s">
        <v>419</v>
      </c>
      <c r="C280" s="25"/>
      <c r="D280" s="72" t="s">
        <v>402</v>
      </c>
      <c r="E280" s="150"/>
      <c r="F280" s="16" t="s">
        <v>13</v>
      </c>
      <c r="G280" s="16" t="s">
        <v>13</v>
      </c>
      <c r="H280" s="65" t="s">
        <v>353</v>
      </c>
      <c r="I280" s="136">
        <v>0</v>
      </c>
      <c r="J280" s="17" t="s">
        <v>79</v>
      </c>
      <c r="K280" s="142">
        <v>46327</v>
      </c>
      <c r="L280" s="142">
        <v>46371</v>
      </c>
      <c r="M280" s="19"/>
      <c r="N280" s="2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1"/>
      <c r="AX280" s="41"/>
      <c r="AY280" s="41"/>
      <c r="AZ280" s="41"/>
      <c r="BA280" s="41"/>
      <c r="BB280" s="41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  <c r="BW280" s="40"/>
      <c r="BX280" s="40"/>
      <c r="BY280" s="40"/>
      <c r="BZ280" s="40"/>
      <c r="CA280" s="40"/>
      <c r="CB280" s="40"/>
      <c r="CC280" s="40"/>
      <c r="CD280" s="40"/>
      <c r="CE280" s="40"/>
      <c r="CF280" s="42"/>
    </row>
    <row r="281" spans="1:84" ht="15.75" x14ac:dyDescent="0.25">
      <c r="A281" s="149" t="s">
        <v>327</v>
      </c>
      <c r="B281" s="150" t="s">
        <v>420</v>
      </c>
      <c r="C281" s="25"/>
      <c r="D281" s="72" t="s">
        <v>404</v>
      </c>
      <c r="E281" s="150"/>
      <c r="F281" s="16" t="s">
        <v>13</v>
      </c>
      <c r="G281" s="16" t="s">
        <v>13</v>
      </c>
      <c r="H281" s="65" t="s">
        <v>353</v>
      </c>
      <c r="I281" s="136">
        <v>0</v>
      </c>
      <c r="J281" s="17" t="s">
        <v>79</v>
      </c>
      <c r="K281" s="142">
        <v>46327</v>
      </c>
      <c r="L281" s="142">
        <v>46371</v>
      </c>
      <c r="M281" s="19"/>
      <c r="N281" s="2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1"/>
      <c r="AX281" s="41"/>
      <c r="AY281" s="41"/>
      <c r="AZ281" s="41"/>
      <c r="BA281" s="41"/>
      <c r="BB281" s="41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  <c r="BW281" s="40"/>
      <c r="BX281" s="40"/>
      <c r="BY281" s="40"/>
      <c r="BZ281" s="40"/>
      <c r="CA281" s="40"/>
      <c r="CB281" s="40"/>
      <c r="CC281" s="40"/>
      <c r="CD281" s="40"/>
      <c r="CE281" s="40"/>
      <c r="CF281" s="42"/>
    </row>
    <row r="282" spans="1:84" ht="15.75" x14ac:dyDescent="0.25">
      <c r="A282" s="149" t="s">
        <v>327</v>
      </c>
      <c r="B282" s="150" t="s">
        <v>421</v>
      </c>
      <c r="C282" s="73"/>
      <c r="D282" s="74" t="s">
        <v>373</v>
      </c>
      <c r="E282" s="150"/>
      <c r="F282" s="16" t="s">
        <v>13</v>
      </c>
      <c r="G282" s="16" t="s">
        <v>13</v>
      </c>
      <c r="H282" s="75" t="s">
        <v>353</v>
      </c>
      <c r="I282" s="136">
        <v>0</v>
      </c>
      <c r="J282" s="17" t="s">
        <v>79</v>
      </c>
      <c r="K282" s="142">
        <v>46357</v>
      </c>
      <c r="L282" s="142">
        <v>46371</v>
      </c>
      <c r="M282" s="76"/>
      <c r="N282" s="77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78"/>
      <c r="AZ282" s="78"/>
      <c r="BA282" s="79"/>
      <c r="BB282" s="79"/>
      <c r="BC282" s="78"/>
      <c r="BD282" s="78"/>
      <c r="BE282" s="78"/>
      <c r="BF282" s="78"/>
      <c r="BG282" s="78"/>
      <c r="BH282" s="78"/>
      <c r="BI282" s="78"/>
      <c r="BJ282" s="78"/>
      <c r="BK282" s="78"/>
      <c r="BL282" s="78"/>
      <c r="BM282" s="78"/>
      <c r="BN282" s="78"/>
      <c r="BO282" s="78"/>
      <c r="BP282" s="78"/>
      <c r="BQ282" s="78"/>
      <c r="BR282" s="78"/>
      <c r="BS282" s="78"/>
      <c r="BT282" s="78"/>
      <c r="BU282" s="78"/>
      <c r="BV282" s="78"/>
      <c r="BW282" s="78"/>
      <c r="BX282" s="78"/>
      <c r="BY282" s="78"/>
      <c r="BZ282" s="78"/>
      <c r="CA282" s="78"/>
      <c r="CB282" s="78"/>
      <c r="CC282" s="78"/>
      <c r="CD282" s="78"/>
      <c r="CE282" s="78"/>
      <c r="CF282" s="80"/>
    </row>
    <row r="283" spans="1:84" ht="15.75" x14ac:dyDescent="0.25">
      <c r="A283" s="149" t="s">
        <v>327</v>
      </c>
      <c r="B283" s="150" t="s">
        <v>422</v>
      </c>
      <c r="C283" s="25"/>
      <c r="D283" s="69" t="s">
        <v>375</v>
      </c>
      <c r="E283" s="150"/>
      <c r="F283" s="16" t="s">
        <v>13</v>
      </c>
      <c r="G283" s="16" t="s">
        <v>13</v>
      </c>
      <c r="H283" s="64" t="s">
        <v>353</v>
      </c>
      <c r="I283" s="169">
        <f>AVERAGE(I284,I288,I289)</f>
        <v>0</v>
      </c>
      <c r="J283" s="17" t="s">
        <v>79</v>
      </c>
      <c r="K283" s="142">
        <v>46371</v>
      </c>
      <c r="L283" s="142">
        <v>46433</v>
      </c>
      <c r="M283" s="19"/>
      <c r="N283" s="20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70"/>
      <c r="BD283" s="70"/>
      <c r="BE283" s="70"/>
      <c r="BF283" s="70"/>
      <c r="BG283" s="70"/>
      <c r="BH283" s="70"/>
      <c r="BI283" s="70"/>
      <c r="BJ283" s="70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  <c r="BY283" s="61"/>
      <c r="BZ283" s="61"/>
      <c r="CA283" s="61"/>
      <c r="CB283" s="61"/>
      <c r="CC283" s="61"/>
      <c r="CD283" s="61"/>
      <c r="CE283" s="61"/>
      <c r="CF283" s="63"/>
    </row>
    <row r="284" spans="1:84" ht="15.75" x14ac:dyDescent="0.25">
      <c r="A284" s="149" t="s">
        <v>327</v>
      </c>
      <c r="B284" s="150" t="s">
        <v>423</v>
      </c>
      <c r="C284" s="25"/>
      <c r="D284" s="72" t="s">
        <v>216</v>
      </c>
      <c r="E284" s="150"/>
      <c r="F284" s="16" t="s">
        <v>13</v>
      </c>
      <c r="G284" s="16" t="s">
        <v>13</v>
      </c>
      <c r="H284" s="65" t="s">
        <v>353</v>
      </c>
      <c r="I284" s="136">
        <f>AVERAGE(I285)</f>
        <v>0</v>
      </c>
      <c r="J284" s="17" t="s">
        <v>79</v>
      </c>
      <c r="K284" s="142">
        <v>46371</v>
      </c>
      <c r="L284" s="142">
        <v>46433</v>
      </c>
      <c r="M284" s="19"/>
      <c r="N284" s="20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7"/>
      <c r="BD284" s="67"/>
      <c r="BE284" s="67"/>
      <c r="BF284" s="67"/>
      <c r="BG284" s="67"/>
      <c r="BH284" s="67"/>
      <c r="BI284" s="67"/>
      <c r="BJ284" s="67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  <c r="BY284" s="61"/>
      <c r="BZ284" s="61"/>
      <c r="CA284" s="61"/>
      <c r="CB284" s="61"/>
      <c r="CC284" s="61"/>
      <c r="CD284" s="61"/>
      <c r="CE284" s="61"/>
      <c r="CF284" s="63"/>
    </row>
    <row r="285" spans="1:84" ht="15.75" x14ac:dyDescent="0.25">
      <c r="A285" s="149" t="s">
        <v>327</v>
      </c>
      <c r="B285" s="150" t="s">
        <v>424</v>
      </c>
      <c r="C285" s="25"/>
      <c r="D285" s="83" t="s">
        <v>408</v>
      </c>
      <c r="E285" s="150"/>
      <c r="F285" s="16" t="s">
        <v>13</v>
      </c>
      <c r="G285" s="16" t="s">
        <v>13</v>
      </c>
      <c r="H285" s="65" t="s">
        <v>353</v>
      </c>
      <c r="I285" s="136">
        <f>AVERAGE(I286,I287)</f>
        <v>0</v>
      </c>
      <c r="J285" s="17" t="s">
        <v>79</v>
      </c>
      <c r="K285" s="142">
        <v>46371</v>
      </c>
      <c r="L285" s="142">
        <v>46433</v>
      </c>
      <c r="M285" s="19"/>
      <c r="N285" s="20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7"/>
      <c r="BD285" s="67"/>
      <c r="BE285" s="67"/>
      <c r="BF285" s="67"/>
      <c r="BG285" s="67"/>
      <c r="BH285" s="67"/>
      <c r="BI285" s="67"/>
      <c r="BJ285" s="67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  <c r="BY285" s="61"/>
      <c r="BZ285" s="61"/>
      <c r="CA285" s="61"/>
      <c r="CB285" s="61"/>
      <c r="CC285" s="61"/>
      <c r="CD285" s="61"/>
      <c r="CE285" s="61"/>
      <c r="CF285" s="63"/>
    </row>
    <row r="286" spans="1:84" ht="15.75" x14ac:dyDescent="0.25">
      <c r="A286" s="149" t="s">
        <v>327</v>
      </c>
      <c r="B286" s="150" t="s">
        <v>425</v>
      </c>
      <c r="C286" s="25"/>
      <c r="D286" s="82" t="s">
        <v>399</v>
      </c>
      <c r="E286" s="150"/>
      <c r="F286" s="16" t="s">
        <v>13</v>
      </c>
      <c r="G286" s="16" t="s">
        <v>13</v>
      </c>
      <c r="H286" s="65" t="s">
        <v>353</v>
      </c>
      <c r="I286" s="136">
        <v>0</v>
      </c>
      <c r="J286" s="17" t="s">
        <v>79</v>
      </c>
      <c r="K286" s="142">
        <v>46371</v>
      </c>
      <c r="L286" s="142">
        <v>46433</v>
      </c>
      <c r="M286" s="19"/>
      <c r="N286" s="2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1"/>
      <c r="BD286" s="41"/>
      <c r="BE286" s="41"/>
      <c r="BF286" s="41"/>
      <c r="BG286" s="41"/>
      <c r="BH286" s="41"/>
      <c r="BI286" s="41"/>
      <c r="BJ286" s="41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  <c r="BW286" s="40"/>
      <c r="BX286" s="40"/>
      <c r="BY286" s="40"/>
      <c r="BZ286" s="40"/>
      <c r="CA286" s="40"/>
      <c r="CB286" s="40"/>
      <c r="CC286" s="40"/>
      <c r="CD286" s="40"/>
      <c r="CE286" s="40"/>
      <c r="CF286" s="42"/>
    </row>
    <row r="287" spans="1:84" ht="15.75" x14ac:dyDescent="0.25">
      <c r="A287" s="149" t="s">
        <v>327</v>
      </c>
      <c r="B287" s="150" t="s">
        <v>426</v>
      </c>
      <c r="C287" s="25"/>
      <c r="D287" s="82" t="s">
        <v>400</v>
      </c>
      <c r="E287" s="150"/>
      <c r="F287" s="16" t="s">
        <v>13</v>
      </c>
      <c r="G287" s="16" t="s">
        <v>13</v>
      </c>
      <c r="H287" s="65" t="s">
        <v>353</v>
      </c>
      <c r="I287" s="136">
        <v>0</v>
      </c>
      <c r="J287" s="17" t="s">
        <v>79</v>
      </c>
      <c r="K287" s="142">
        <v>46371</v>
      </c>
      <c r="L287" s="142">
        <v>46433</v>
      </c>
      <c r="M287" s="19"/>
      <c r="N287" s="2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1"/>
      <c r="BD287" s="41"/>
      <c r="BE287" s="41"/>
      <c r="BF287" s="41"/>
      <c r="BG287" s="41"/>
      <c r="BH287" s="41"/>
      <c r="BI287" s="41"/>
      <c r="BJ287" s="41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  <c r="BW287" s="40"/>
      <c r="BX287" s="40"/>
      <c r="BY287" s="40"/>
      <c r="BZ287" s="40"/>
      <c r="CA287" s="40"/>
      <c r="CB287" s="40"/>
      <c r="CC287" s="40"/>
      <c r="CD287" s="40"/>
      <c r="CE287" s="40"/>
      <c r="CF287" s="42"/>
    </row>
    <row r="288" spans="1:84" ht="15.75" x14ac:dyDescent="0.25">
      <c r="A288" s="149" t="s">
        <v>327</v>
      </c>
      <c r="B288" s="150" t="s">
        <v>427</v>
      </c>
      <c r="C288" s="25"/>
      <c r="D288" s="72" t="s">
        <v>402</v>
      </c>
      <c r="E288" s="150"/>
      <c r="F288" s="16" t="s">
        <v>13</v>
      </c>
      <c r="G288" s="16" t="s">
        <v>13</v>
      </c>
      <c r="H288" s="65" t="s">
        <v>353</v>
      </c>
      <c r="I288" s="136">
        <v>0</v>
      </c>
      <c r="J288" s="17" t="s">
        <v>79</v>
      </c>
      <c r="K288" s="142">
        <v>46371</v>
      </c>
      <c r="L288" s="142">
        <v>46433</v>
      </c>
      <c r="M288" s="19"/>
      <c r="N288" s="2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1"/>
      <c r="BD288" s="41"/>
      <c r="BE288" s="41"/>
      <c r="BF288" s="41"/>
      <c r="BG288" s="41"/>
      <c r="BH288" s="41"/>
      <c r="BI288" s="41"/>
      <c r="BJ288" s="41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  <c r="BW288" s="40"/>
      <c r="BX288" s="40"/>
      <c r="BY288" s="40"/>
      <c r="BZ288" s="40"/>
      <c r="CA288" s="40"/>
      <c r="CB288" s="40"/>
      <c r="CC288" s="40"/>
      <c r="CD288" s="40"/>
      <c r="CE288" s="40"/>
      <c r="CF288" s="42"/>
    </row>
    <row r="289" spans="1:84" ht="15.75" x14ac:dyDescent="0.25">
      <c r="A289" s="149" t="s">
        <v>327</v>
      </c>
      <c r="B289" s="150" t="s">
        <v>428</v>
      </c>
      <c r="C289" s="25"/>
      <c r="D289" s="72" t="s">
        <v>404</v>
      </c>
      <c r="E289" s="150"/>
      <c r="F289" s="16" t="s">
        <v>13</v>
      </c>
      <c r="G289" s="16" t="s">
        <v>13</v>
      </c>
      <c r="H289" s="65" t="s">
        <v>353</v>
      </c>
      <c r="I289" s="136">
        <v>0</v>
      </c>
      <c r="J289" s="17" t="s">
        <v>79</v>
      </c>
      <c r="K289" s="142">
        <v>46371</v>
      </c>
      <c r="L289" s="142">
        <v>46433</v>
      </c>
      <c r="M289" s="19"/>
      <c r="N289" s="2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1"/>
      <c r="BD289" s="41"/>
      <c r="BE289" s="41"/>
      <c r="BF289" s="41"/>
      <c r="BG289" s="41"/>
      <c r="BH289" s="41"/>
      <c r="BI289" s="41"/>
      <c r="BJ289" s="41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  <c r="BW289" s="40"/>
      <c r="BX289" s="40"/>
      <c r="BY289" s="40"/>
      <c r="BZ289" s="40"/>
      <c r="CA289" s="40"/>
      <c r="CB289" s="40"/>
      <c r="CC289" s="40"/>
      <c r="CD289" s="40"/>
      <c r="CE289" s="40"/>
      <c r="CF289" s="42"/>
    </row>
    <row r="290" spans="1:84" ht="23.25" customHeight="1" x14ac:dyDescent="0.25">
      <c r="A290" s="149" t="s">
        <v>327</v>
      </c>
      <c r="B290" s="150" t="s">
        <v>429</v>
      </c>
      <c r="C290" s="84"/>
      <c r="D290" s="85" t="s">
        <v>385</v>
      </c>
      <c r="E290" s="150"/>
      <c r="F290" s="16" t="s">
        <v>310</v>
      </c>
      <c r="G290" s="16" t="s">
        <v>13</v>
      </c>
      <c r="H290" s="105" t="s">
        <v>353</v>
      </c>
      <c r="I290" s="169">
        <v>0</v>
      </c>
      <c r="J290" s="17" t="s">
        <v>79</v>
      </c>
      <c r="K290" s="142">
        <v>46371</v>
      </c>
      <c r="L290" s="142">
        <v>46433</v>
      </c>
      <c r="M290" s="76"/>
      <c r="N290" s="77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  <c r="AQ290" s="86"/>
      <c r="AR290" s="86"/>
      <c r="AS290" s="86"/>
      <c r="AT290" s="86"/>
      <c r="AU290" s="86"/>
      <c r="AV290" s="86"/>
      <c r="AW290" s="86"/>
      <c r="AX290" s="86"/>
      <c r="AY290" s="86"/>
      <c r="AZ290" s="86"/>
      <c r="BA290" s="86"/>
      <c r="BB290" s="86"/>
      <c r="BC290" s="87"/>
      <c r="BD290" s="87"/>
      <c r="BE290" s="87"/>
      <c r="BF290" s="87"/>
      <c r="BG290" s="87"/>
      <c r="BH290" s="87"/>
      <c r="BI290" s="87"/>
      <c r="BJ290" s="87"/>
      <c r="BK290" s="86"/>
      <c r="BL290" s="86"/>
      <c r="BM290" s="86"/>
      <c r="BN290" s="86"/>
      <c r="BO290" s="86"/>
      <c r="BP290" s="86"/>
      <c r="BQ290" s="86"/>
      <c r="BR290" s="86"/>
      <c r="BS290" s="86"/>
      <c r="BT290" s="86"/>
      <c r="BU290" s="86"/>
      <c r="BV290" s="86"/>
      <c r="BW290" s="86"/>
      <c r="BX290" s="86"/>
      <c r="BY290" s="86"/>
      <c r="BZ290" s="86"/>
      <c r="CA290" s="86"/>
      <c r="CB290" s="86"/>
      <c r="CC290" s="86"/>
      <c r="CD290" s="86"/>
      <c r="CE290" s="86"/>
      <c r="CF290" s="88"/>
    </row>
    <row r="291" spans="1:84" ht="15.75" x14ac:dyDescent="0.25">
      <c r="A291" s="149" t="s">
        <v>327</v>
      </c>
      <c r="B291" s="150" t="s">
        <v>430</v>
      </c>
      <c r="C291" s="84"/>
      <c r="D291" s="85" t="s">
        <v>387</v>
      </c>
      <c r="E291" s="150"/>
      <c r="F291" s="16" t="s">
        <v>274</v>
      </c>
      <c r="G291" s="16" t="s">
        <v>13</v>
      </c>
      <c r="H291" s="105" t="s">
        <v>353</v>
      </c>
      <c r="I291" s="169">
        <v>0</v>
      </c>
      <c r="J291" s="17" t="s">
        <v>79</v>
      </c>
      <c r="K291" s="142">
        <v>46371</v>
      </c>
      <c r="L291" s="142">
        <v>46433</v>
      </c>
      <c r="M291" s="76"/>
      <c r="N291" s="77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  <c r="AQ291" s="86"/>
      <c r="AR291" s="86"/>
      <c r="AS291" s="86"/>
      <c r="AT291" s="86"/>
      <c r="AU291" s="86"/>
      <c r="AV291" s="86"/>
      <c r="AW291" s="86"/>
      <c r="AX291" s="86"/>
      <c r="AY291" s="86"/>
      <c r="AZ291" s="86"/>
      <c r="BA291" s="86"/>
      <c r="BB291" s="86"/>
      <c r="BC291" s="87"/>
      <c r="BD291" s="87"/>
      <c r="BE291" s="87"/>
      <c r="BF291" s="87"/>
      <c r="BG291" s="87"/>
      <c r="BH291" s="87"/>
      <c r="BI291" s="87"/>
      <c r="BJ291" s="87"/>
      <c r="BK291" s="86"/>
      <c r="BL291" s="86"/>
      <c r="BM291" s="86"/>
      <c r="BN291" s="86"/>
      <c r="BO291" s="86"/>
      <c r="BP291" s="86"/>
      <c r="BQ291" s="86"/>
      <c r="BR291" s="86"/>
      <c r="BS291" s="86"/>
      <c r="BT291" s="86"/>
      <c r="BU291" s="86"/>
      <c r="BV291" s="86"/>
      <c r="BW291" s="86"/>
      <c r="BX291" s="86"/>
      <c r="BY291" s="86"/>
      <c r="BZ291" s="86"/>
      <c r="CA291" s="86"/>
      <c r="CB291" s="86"/>
      <c r="CC291" s="86"/>
      <c r="CD291" s="86"/>
      <c r="CE291" s="86"/>
      <c r="CF291" s="88"/>
    </row>
    <row r="292" spans="1:84" ht="67.5" x14ac:dyDescent="0.25">
      <c r="A292" s="149" t="s">
        <v>327</v>
      </c>
      <c r="B292" s="150" t="s">
        <v>431</v>
      </c>
      <c r="C292" s="84"/>
      <c r="D292" s="43" t="s">
        <v>432</v>
      </c>
      <c r="E292" s="150"/>
      <c r="F292" s="16" t="s">
        <v>13</v>
      </c>
      <c r="G292" s="16" t="s">
        <v>433</v>
      </c>
      <c r="H292" s="105" t="s">
        <v>353</v>
      </c>
      <c r="I292" s="169">
        <v>0</v>
      </c>
      <c r="J292" s="17" t="s">
        <v>79</v>
      </c>
      <c r="K292" s="142">
        <v>46419</v>
      </c>
      <c r="L292" s="142">
        <v>46433</v>
      </c>
      <c r="M292" s="76"/>
      <c r="N292" s="77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  <c r="AQ292" s="86"/>
      <c r="AR292" s="86"/>
      <c r="AS292" s="86"/>
      <c r="AT292" s="86"/>
      <c r="AU292" s="86"/>
      <c r="AV292" s="86"/>
      <c r="AW292" s="86"/>
      <c r="AX292" s="86"/>
      <c r="AY292" s="86"/>
      <c r="AZ292" s="86"/>
      <c r="BA292" s="86"/>
      <c r="BB292" s="86"/>
      <c r="BC292" s="86"/>
      <c r="BD292" s="86"/>
      <c r="BE292" s="86"/>
      <c r="BF292" s="86"/>
      <c r="BG292" s="86"/>
      <c r="BH292" s="86"/>
      <c r="BI292" s="86"/>
      <c r="BJ292" s="89"/>
      <c r="BK292" s="86"/>
      <c r="BL292" s="86"/>
      <c r="BM292" s="86"/>
      <c r="BN292" s="86"/>
      <c r="BO292" s="86"/>
      <c r="BP292" s="86"/>
      <c r="BQ292" s="86"/>
      <c r="BR292" s="86"/>
      <c r="BS292" s="86"/>
      <c r="BT292" s="86"/>
      <c r="BU292" s="86"/>
      <c r="BV292" s="86"/>
      <c r="BW292" s="86"/>
      <c r="BX292" s="86"/>
      <c r="BY292" s="86"/>
      <c r="BZ292" s="86"/>
      <c r="CA292" s="86"/>
      <c r="CB292" s="86"/>
      <c r="CC292" s="86"/>
      <c r="CD292" s="86"/>
      <c r="CE292" s="86"/>
      <c r="CF292" s="88"/>
    </row>
    <row r="293" spans="1:84" ht="15.75" x14ac:dyDescent="0.25">
      <c r="A293" s="149" t="s">
        <v>327</v>
      </c>
      <c r="B293" s="150" t="s">
        <v>434</v>
      </c>
      <c r="C293" s="90"/>
      <c r="D293" s="15" t="s">
        <v>435</v>
      </c>
      <c r="E293" s="150"/>
      <c r="F293" s="16" t="s">
        <v>13</v>
      </c>
      <c r="G293" s="16" t="s">
        <v>13</v>
      </c>
      <c r="H293" s="105" t="s">
        <v>353</v>
      </c>
      <c r="I293" s="105"/>
      <c r="J293" s="17" t="s">
        <v>79</v>
      </c>
      <c r="K293" s="142">
        <v>46143</v>
      </c>
      <c r="L293" s="142">
        <v>46461</v>
      </c>
      <c r="M293" s="76"/>
      <c r="N293" s="77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  <c r="AU293" s="91"/>
      <c r="AV293" s="91"/>
      <c r="AW293" s="91"/>
      <c r="AX293" s="91"/>
      <c r="AY293" s="91"/>
      <c r="AZ293" s="91"/>
      <c r="BA293" s="91"/>
      <c r="BB293" s="91"/>
      <c r="BC293" s="91"/>
      <c r="BD293" s="91"/>
      <c r="BE293" s="91"/>
      <c r="BF293" s="91"/>
      <c r="BG293" s="91"/>
      <c r="BH293" s="91"/>
      <c r="BI293" s="91"/>
      <c r="BJ293" s="91"/>
      <c r="BK293" s="91"/>
      <c r="BL293" s="91"/>
      <c r="BM293" s="91"/>
      <c r="BN293" s="91"/>
      <c r="BO293" s="78"/>
      <c r="BP293" s="78"/>
      <c r="BQ293" s="78"/>
      <c r="BR293" s="78"/>
      <c r="BS293" s="78"/>
      <c r="BT293" s="78"/>
      <c r="BU293" s="78"/>
      <c r="BV293" s="78"/>
      <c r="BW293" s="78"/>
      <c r="BX293" s="78"/>
      <c r="BY293" s="78"/>
      <c r="BZ293" s="78"/>
      <c r="CA293" s="78"/>
      <c r="CB293" s="78"/>
      <c r="CC293" s="78"/>
      <c r="CD293" s="78"/>
      <c r="CE293" s="78"/>
      <c r="CF293" s="80"/>
    </row>
    <row r="294" spans="1:84" ht="15.75" x14ac:dyDescent="0.25">
      <c r="A294" s="149" t="s">
        <v>327</v>
      </c>
      <c r="B294" s="150" t="s">
        <v>436</v>
      </c>
      <c r="C294" s="73"/>
      <c r="D294" s="170" t="s">
        <v>334</v>
      </c>
      <c r="E294" s="150"/>
      <c r="F294" s="16" t="s">
        <v>13</v>
      </c>
      <c r="G294" s="16" t="s">
        <v>13</v>
      </c>
      <c r="H294" s="105" t="s">
        <v>353</v>
      </c>
      <c r="I294" s="169">
        <v>0</v>
      </c>
      <c r="J294" s="17" t="s">
        <v>79</v>
      </c>
      <c r="K294" s="142">
        <v>46143</v>
      </c>
      <c r="L294" s="142">
        <v>46188</v>
      </c>
      <c r="M294" s="76"/>
      <c r="N294" s="77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92"/>
      <c r="Z294" s="92"/>
      <c r="AA294" s="92"/>
      <c r="AB294" s="92"/>
      <c r="AC294" s="92"/>
      <c r="AD294" s="92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78"/>
      <c r="AZ294" s="78"/>
      <c r="BA294" s="78"/>
      <c r="BB294" s="78"/>
      <c r="BC294" s="78"/>
      <c r="BD294" s="78"/>
      <c r="BE294" s="78"/>
      <c r="BF294" s="78"/>
      <c r="BG294" s="78"/>
      <c r="BH294" s="78"/>
      <c r="BI294" s="78"/>
      <c r="BJ294" s="78"/>
      <c r="BK294" s="78"/>
      <c r="BL294" s="78"/>
      <c r="BM294" s="78"/>
      <c r="BN294" s="78"/>
      <c r="BO294" s="78"/>
      <c r="BP294" s="78"/>
      <c r="BQ294" s="78"/>
      <c r="BR294" s="78"/>
      <c r="BS294" s="78"/>
      <c r="BT294" s="78"/>
      <c r="BU294" s="78"/>
      <c r="BV294" s="78"/>
      <c r="BW294" s="78"/>
      <c r="BX294" s="78"/>
      <c r="BY294" s="78"/>
      <c r="BZ294" s="78"/>
      <c r="CA294" s="78"/>
      <c r="CB294" s="78"/>
      <c r="CC294" s="78"/>
      <c r="CD294" s="78"/>
      <c r="CE294" s="78"/>
      <c r="CF294" s="80"/>
    </row>
    <row r="295" spans="1:84" ht="15.75" x14ac:dyDescent="0.25">
      <c r="A295" s="149" t="s">
        <v>327</v>
      </c>
      <c r="B295" s="150" t="s">
        <v>437</v>
      </c>
      <c r="C295" s="73"/>
      <c r="D295" s="170" t="s">
        <v>438</v>
      </c>
      <c r="E295" s="150"/>
      <c r="F295" s="16" t="s">
        <v>13</v>
      </c>
      <c r="G295" s="16" t="s">
        <v>13</v>
      </c>
      <c r="H295" s="105" t="s">
        <v>353</v>
      </c>
      <c r="I295" s="169">
        <v>0</v>
      </c>
      <c r="J295" s="17" t="s">
        <v>79</v>
      </c>
      <c r="K295" s="142">
        <v>46218</v>
      </c>
      <c r="L295" s="142">
        <v>46371</v>
      </c>
      <c r="M295" s="76"/>
      <c r="N295" s="77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92"/>
      <c r="AJ295" s="92"/>
      <c r="AK295" s="92"/>
      <c r="AL295" s="92"/>
      <c r="AM295" s="92"/>
      <c r="AN295" s="92"/>
      <c r="AO295" s="92"/>
      <c r="AP295" s="92"/>
      <c r="AQ295" s="92"/>
      <c r="AR295" s="92"/>
      <c r="AS295" s="92"/>
      <c r="AT295" s="92"/>
      <c r="AU295" s="92"/>
      <c r="AV295" s="92"/>
      <c r="AW295" s="92"/>
      <c r="AX295" s="92"/>
      <c r="AY295" s="92"/>
      <c r="AZ295" s="92"/>
      <c r="BA295" s="92"/>
      <c r="BB295" s="92"/>
      <c r="BC295" s="78"/>
      <c r="BD295" s="78"/>
      <c r="BE295" s="78"/>
      <c r="BF295" s="78"/>
      <c r="BG295" s="78"/>
      <c r="BH295" s="78"/>
      <c r="BI295" s="78"/>
      <c r="BJ295" s="78"/>
      <c r="BK295" s="78"/>
      <c r="BL295" s="78"/>
      <c r="BM295" s="78"/>
      <c r="BN295" s="78"/>
      <c r="BO295" s="78"/>
      <c r="BP295" s="78"/>
      <c r="BQ295" s="78"/>
      <c r="BR295" s="78"/>
      <c r="BS295" s="78"/>
      <c r="BT295" s="78"/>
      <c r="BU295" s="78"/>
      <c r="BV295" s="78"/>
      <c r="BW295" s="78"/>
      <c r="BX295" s="78"/>
      <c r="BY295" s="78"/>
      <c r="BZ295" s="78"/>
      <c r="CA295" s="78"/>
      <c r="CB295" s="78"/>
      <c r="CC295" s="78"/>
      <c r="CD295" s="78"/>
      <c r="CE295" s="78"/>
      <c r="CF295" s="80"/>
    </row>
    <row r="296" spans="1:84" ht="15.75" x14ac:dyDescent="0.25">
      <c r="A296" s="149" t="s">
        <v>327</v>
      </c>
      <c r="B296" s="150" t="s">
        <v>439</v>
      </c>
      <c r="C296" s="84"/>
      <c r="D296" s="170" t="s">
        <v>338</v>
      </c>
      <c r="E296" s="150"/>
      <c r="F296" s="16" t="s">
        <v>13</v>
      </c>
      <c r="G296" s="16" t="s">
        <v>13</v>
      </c>
      <c r="H296" s="105" t="s">
        <v>353</v>
      </c>
      <c r="I296" s="169">
        <v>0</v>
      </c>
      <c r="J296" s="17" t="s">
        <v>79</v>
      </c>
      <c r="K296" s="142">
        <v>46371</v>
      </c>
      <c r="L296" s="142">
        <v>46371</v>
      </c>
      <c r="M296" s="76"/>
      <c r="N296" s="77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  <c r="AY296" s="78"/>
      <c r="AZ296" s="78"/>
      <c r="BA296" s="92"/>
      <c r="BB296" s="92"/>
      <c r="BC296" s="78"/>
      <c r="BD296" s="78"/>
      <c r="BE296" s="78"/>
      <c r="BF296" s="78"/>
      <c r="BG296" s="78"/>
      <c r="BH296" s="78"/>
      <c r="BI296" s="78"/>
      <c r="BJ296" s="78"/>
      <c r="BK296" s="78"/>
      <c r="BL296" s="78"/>
      <c r="BM296" s="78"/>
      <c r="BN296" s="78"/>
      <c r="BO296" s="78"/>
      <c r="BP296" s="78"/>
      <c r="BQ296" s="78"/>
      <c r="BR296" s="78"/>
      <c r="BS296" s="78"/>
      <c r="BT296" s="78"/>
      <c r="BU296" s="78"/>
      <c r="BV296" s="78"/>
      <c r="BW296" s="78"/>
      <c r="BX296" s="78"/>
      <c r="BY296" s="78"/>
      <c r="BZ296" s="78"/>
      <c r="CA296" s="78"/>
      <c r="CB296" s="78"/>
      <c r="CC296" s="78"/>
      <c r="CD296" s="78"/>
      <c r="CE296" s="78"/>
      <c r="CF296" s="80"/>
    </row>
    <row r="297" spans="1:84" ht="15.75" x14ac:dyDescent="0.25">
      <c r="A297" s="149" t="s">
        <v>327</v>
      </c>
      <c r="B297" s="150" t="s">
        <v>440</v>
      </c>
      <c r="C297" s="84"/>
      <c r="D297" s="69" t="s">
        <v>340</v>
      </c>
      <c r="E297" s="150"/>
      <c r="F297" s="16" t="s">
        <v>13</v>
      </c>
      <c r="G297" s="16" t="s">
        <v>13</v>
      </c>
      <c r="H297" s="105" t="s">
        <v>353</v>
      </c>
      <c r="I297" s="171">
        <f>AVERAGE(I298,I306)</f>
        <v>0</v>
      </c>
      <c r="J297" s="17" t="s">
        <v>79</v>
      </c>
      <c r="K297" s="142">
        <v>46218</v>
      </c>
      <c r="L297" s="142">
        <v>46371</v>
      </c>
      <c r="M297" s="76"/>
      <c r="N297" s="77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93"/>
      <c r="AJ297" s="93"/>
      <c r="AK297" s="93"/>
      <c r="AL297" s="93"/>
      <c r="AM297" s="93"/>
      <c r="AN297" s="93"/>
      <c r="AO297" s="93"/>
      <c r="AP297" s="93"/>
      <c r="AQ297" s="93"/>
      <c r="AR297" s="93"/>
      <c r="AS297" s="93"/>
      <c r="AT297" s="93"/>
      <c r="AU297" s="93"/>
      <c r="AV297" s="93"/>
      <c r="AW297" s="93"/>
      <c r="AX297" s="93"/>
      <c r="AY297" s="93"/>
      <c r="AZ297" s="93"/>
      <c r="BA297" s="93"/>
      <c r="BB297" s="93"/>
      <c r="BC297" s="78"/>
      <c r="BD297" s="78"/>
      <c r="BE297" s="78"/>
      <c r="BF297" s="78"/>
      <c r="BG297" s="78"/>
      <c r="BH297" s="78"/>
      <c r="BI297" s="78"/>
      <c r="BJ297" s="78"/>
      <c r="BK297" s="78"/>
      <c r="BL297" s="78"/>
      <c r="BM297" s="78"/>
      <c r="BN297" s="78"/>
      <c r="BO297" s="78"/>
      <c r="BP297" s="78"/>
      <c r="BQ297" s="78"/>
      <c r="BR297" s="78"/>
      <c r="BS297" s="78"/>
      <c r="BT297" s="78"/>
      <c r="BU297" s="78"/>
      <c r="BV297" s="78"/>
      <c r="BW297" s="78"/>
      <c r="BX297" s="78"/>
      <c r="BY297" s="78"/>
      <c r="BZ297" s="78"/>
      <c r="CA297" s="78"/>
      <c r="CB297" s="78"/>
      <c r="CC297" s="78"/>
      <c r="CD297" s="78"/>
      <c r="CE297" s="78"/>
      <c r="CF297" s="80"/>
    </row>
    <row r="298" spans="1:84" ht="15.75" x14ac:dyDescent="0.25">
      <c r="A298" s="149" t="s">
        <v>327</v>
      </c>
      <c r="B298" s="150" t="s">
        <v>441</v>
      </c>
      <c r="C298" s="84"/>
      <c r="D298" s="94" t="s">
        <v>442</v>
      </c>
      <c r="E298" s="150"/>
      <c r="F298" s="16" t="s">
        <v>13</v>
      </c>
      <c r="G298" s="16" t="s">
        <v>13</v>
      </c>
      <c r="H298" s="75" t="s">
        <v>353</v>
      </c>
      <c r="I298" s="172">
        <f>AVERAGE(I299:I305)</f>
        <v>0</v>
      </c>
      <c r="J298" s="17" t="s">
        <v>79</v>
      </c>
      <c r="K298" s="142">
        <v>46218</v>
      </c>
      <c r="L298" s="142">
        <v>46371</v>
      </c>
      <c r="M298" s="76"/>
      <c r="N298" s="77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92"/>
      <c r="AJ298" s="92"/>
      <c r="AK298" s="92"/>
      <c r="AL298" s="92"/>
      <c r="AM298" s="92"/>
      <c r="AN298" s="92"/>
      <c r="AO298" s="92"/>
      <c r="AP298" s="92"/>
      <c r="AQ298" s="92"/>
      <c r="AR298" s="92"/>
      <c r="AS298" s="92"/>
      <c r="AT298" s="92"/>
      <c r="AU298" s="92"/>
      <c r="AV298" s="92"/>
      <c r="AW298" s="92"/>
      <c r="AX298" s="92"/>
      <c r="AY298" s="92"/>
      <c r="AZ298" s="92"/>
      <c r="BA298" s="92"/>
      <c r="BB298" s="92"/>
      <c r="BC298" s="78"/>
      <c r="BD298" s="78"/>
      <c r="BE298" s="78"/>
      <c r="BF298" s="78"/>
      <c r="BG298" s="78"/>
      <c r="BH298" s="78"/>
      <c r="BI298" s="78"/>
      <c r="BJ298" s="78"/>
      <c r="BK298" s="78"/>
      <c r="BL298" s="78"/>
      <c r="BM298" s="78"/>
      <c r="BN298" s="78"/>
      <c r="BO298" s="78"/>
      <c r="BP298" s="78"/>
      <c r="BQ298" s="78"/>
      <c r="BR298" s="78"/>
      <c r="BS298" s="78"/>
      <c r="BT298" s="78"/>
      <c r="BU298" s="78"/>
      <c r="BV298" s="78"/>
      <c r="BW298" s="78"/>
      <c r="BX298" s="78"/>
      <c r="BY298" s="78"/>
      <c r="BZ298" s="78"/>
      <c r="CA298" s="78"/>
      <c r="CB298" s="78"/>
      <c r="CC298" s="78"/>
      <c r="CD298" s="78"/>
      <c r="CE298" s="78"/>
      <c r="CF298" s="80"/>
    </row>
    <row r="299" spans="1:84" ht="15.75" x14ac:dyDescent="0.25">
      <c r="A299" s="149" t="s">
        <v>327</v>
      </c>
      <c r="B299" s="150" t="s">
        <v>443</v>
      </c>
      <c r="C299" s="84"/>
      <c r="D299" s="95" t="s">
        <v>444</v>
      </c>
      <c r="E299" s="150"/>
      <c r="F299" s="16" t="s">
        <v>13</v>
      </c>
      <c r="G299" s="16" t="s">
        <v>13</v>
      </c>
      <c r="H299" s="75" t="s">
        <v>353</v>
      </c>
      <c r="I299" s="136">
        <v>0</v>
      </c>
      <c r="J299" s="17" t="s">
        <v>79</v>
      </c>
      <c r="K299" s="142">
        <v>46218</v>
      </c>
      <c r="L299" s="142">
        <v>46280</v>
      </c>
      <c r="M299" s="76"/>
      <c r="N299" s="77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92"/>
      <c r="AJ299" s="92"/>
      <c r="AK299" s="92"/>
      <c r="AL299" s="92"/>
      <c r="AM299" s="92"/>
      <c r="AN299" s="92"/>
      <c r="AO299" s="92"/>
      <c r="AP299" s="92"/>
      <c r="AQ299" s="78"/>
      <c r="AR299" s="78"/>
      <c r="AS299" s="78"/>
      <c r="AT299" s="78"/>
      <c r="AU299" s="78"/>
      <c r="AV299" s="78"/>
      <c r="AW299" s="78"/>
      <c r="AX299" s="78"/>
      <c r="AY299" s="78"/>
      <c r="AZ299" s="78"/>
      <c r="BA299" s="78"/>
      <c r="BB299" s="78"/>
      <c r="BC299" s="78"/>
      <c r="BD299" s="78"/>
      <c r="BE299" s="78"/>
      <c r="BF299" s="78"/>
      <c r="BG299" s="78"/>
      <c r="BH299" s="78"/>
      <c r="BI299" s="78"/>
      <c r="BJ299" s="78"/>
      <c r="BK299" s="78"/>
      <c r="BL299" s="78"/>
      <c r="BM299" s="78"/>
      <c r="BN299" s="78"/>
      <c r="BO299" s="78"/>
      <c r="BP299" s="78"/>
      <c r="BQ299" s="78"/>
      <c r="BR299" s="78"/>
      <c r="BS299" s="78"/>
      <c r="BT299" s="78"/>
      <c r="BU299" s="78"/>
      <c r="BV299" s="78"/>
      <c r="BW299" s="78"/>
      <c r="BX299" s="78"/>
      <c r="BY299" s="78"/>
      <c r="BZ299" s="78"/>
      <c r="CA299" s="78"/>
      <c r="CB299" s="78"/>
      <c r="CC299" s="78"/>
      <c r="CD299" s="78"/>
      <c r="CE299" s="78"/>
      <c r="CF299" s="80"/>
    </row>
    <row r="300" spans="1:84" ht="15.75" x14ac:dyDescent="0.25">
      <c r="A300" s="149" t="s">
        <v>327</v>
      </c>
      <c r="B300" s="150" t="s">
        <v>445</v>
      </c>
      <c r="C300" s="84"/>
      <c r="D300" s="95" t="s">
        <v>446</v>
      </c>
      <c r="E300" s="150"/>
      <c r="F300" s="16" t="s">
        <v>13</v>
      </c>
      <c r="G300" s="16" t="s">
        <v>13</v>
      </c>
      <c r="H300" s="75" t="s">
        <v>353</v>
      </c>
      <c r="I300" s="136">
        <v>0</v>
      </c>
      <c r="J300" s="17" t="s">
        <v>79</v>
      </c>
      <c r="K300" s="142">
        <v>46218</v>
      </c>
      <c r="L300" s="142">
        <v>46265</v>
      </c>
      <c r="M300" s="76"/>
      <c r="N300" s="77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92"/>
      <c r="AJ300" s="92"/>
      <c r="AK300" s="92"/>
      <c r="AL300" s="92"/>
      <c r="AM300" s="92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78"/>
      <c r="AZ300" s="78"/>
      <c r="BA300" s="78"/>
      <c r="BB300" s="78"/>
      <c r="BC300" s="78"/>
      <c r="BD300" s="78"/>
      <c r="BE300" s="78"/>
      <c r="BF300" s="78"/>
      <c r="BG300" s="78"/>
      <c r="BH300" s="78"/>
      <c r="BI300" s="78"/>
      <c r="BJ300" s="78"/>
      <c r="BK300" s="78"/>
      <c r="BL300" s="78"/>
      <c r="BM300" s="78"/>
      <c r="BN300" s="78"/>
      <c r="BO300" s="78"/>
      <c r="BP300" s="78"/>
      <c r="BQ300" s="78"/>
      <c r="BR300" s="78"/>
      <c r="BS300" s="78"/>
      <c r="BT300" s="78"/>
      <c r="BU300" s="78"/>
      <c r="BV300" s="78"/>
      <c r="BW300" s="78"/>
      <c r="BX300" s="78"/>
      <c r="BY300" s="78"/>
      <c r="BZ300" s="78"/>
      <c r="CA300" s="78"/>
      <c r="CB300" s="78"/>
      <c r="CC300" s="78"/>
      <c r="CD300" s="78"/>
      <c r="CE300" s="78"/>
      <c r="CF300" s="80"/>
    </row>
    <row r="301" spans="1:84" ht="15.75" x14ac:dyDescent="0.25">
      <c r="A301" s="149" t="s">
        <v>327</v>
      </c>
      <c r="B301" s="150" t="s">
        <v>447</v>
      </c>
      <c r="C301" s="84"/>
      <c r="D301" s="95" t="s">
        <v>448</v>
      </c>
      <c r="E301" s="150"/>
      <c r="F301" s="16" t="s">
        <v>13</v>
      </c>
      <c r="G301" s="16" t="s">
        <v>13</v>
      </c>
      <c r="H301" s="75" t="s">
        <v>353</v>
      </c>
      <c r="I301" s="136">
        <v>0</v>
      </c>
      <c r="J301" s="17" t="s">
        <v>79</v>
      </c>
      <c r="K301" s="142">
        <v>46218</v>
      </c>
      <c r="L301" s="142">
        <v>46265</v>
      </c>
      <c r="M301" s="76"/>
      <c r="N301" s="77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92"/>
      <c r="AJ301" s="92"/>
      <c r="AK301" s="92"/>
      <c r="AL301" s="92"/>
      <c r="AM301" s="92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78"/>
      <c r="AZ301" s="78"/>
      <c r="BA301" s="78"/>
      <c r="BB301" s="78"/>
      <c r="BC301" s="78"/>
      <c r="BD301" s="78"/>
      <c r="BE301" s="78"/>
      <c r="BF301" s="78"/>
      <c r="BG301" s="78"/>
      <c r="BH301" s="78"/>
      <c r="BI301" s="78"/>
      <c r="BJ301" s="78"/>
      <c r="BK301" s="78"/>
      <c r="BL301" s="78"/>
      <c r="BM301" s="78"/>
      <c r="BN301" s="78"/>
      <c r="BO301" s="78"/>
      <c r="BP301" s="78"/>
      <c r="BQ301" s="78"/>
      <c r="BR301" s="78"/>
      <c r="BS301" s="78"/>
      <c r="BT301" s="78"/>
      <c r="BU301" s="78"/>
      <c r="BV301" s="78"/>
      <c r="BW301" s="78"/>
      <c r="BX301" s="78"/>
      <c r="BY301" s="78"/>
      <c r="BZ301" s="78"/>
      <c r="CA301" s="78"/>
      <c r="CB301" s="78"/>
      <c r="CC301" s="78"/>
      <c r="CD301" s="78"/>
      <c r="CE301" s="78"/>
      <c r="CF301" s="80"/>
    </row>
    <row r="302" spans="1:84" ht="15.75" x14ac:dyDescent="0.25">
      <c r="A302" s="149" t="s">
        <v>327</v>
      </c>
      <c r="B302" s="150" t="s">
        <v>449</v>
      </c>
      <c r="C302" s="84"/>
      <c r="D302" s="95" t="s">
        <v>450</v>
      </c>
      <c r="E302" s="150"/>
      <c r="F302" s="16" t="s">
        <v>13</v>
      </c>
      <c r="G302" s="16" t="s">
        <v>13</v>
      </c>
      <c r="H302" s="75" t="s">
        <v>353</v>
      </c>
      <c r="I302" s="136">
        <v>0</v>
      </c>
      <c r="J302" s="17" t="s">
        <v>79</v>
      </c>
      <c r="K302" s="142">
        <v>46218</v>
      </c>
      <c r="L302" s="142">
        <v>46249</v>
      </c>
      <c r="M302" s="76"/>
      <c r="N302" s="77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92"/>
      <c r="AJ302" s="92"/>
      <c r="AK302" s="92"/>
      <c r="AL302" s="92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78"/>
      <c r="AZ302" s="78"/>
      <c r="BA302" s="78"/>
      <c r="BB302" s="78"/>
      <c r="BC302" s="78"/>
      <c r="BD302" s="78"/>
      <c r="BE302" s="78"/>
      <c r="BF302" s="78"/>
      <c r="BG302" s="78"/>
      <c r="BH302" s="78"/>
      <c r="BI302" s="78"/>
      <c r="BJ302" s="78"/>
      <c r="BK302" s="78"/>
      <c r="BL302" s="78"/>
      <c r="BM302" s="78"/>
      <c r="BN302" s="78"/>
      <c r="BO302" s="78"/>
      <c r="BP302" s="78"/>
      <c r="BQ302" s="78"/>
      <c r="BR302" s="78"/>
      <c r="BS302" s="78"/>
      <c r="BT302" s="78"/>
      <c r="BU302" s="78"/>
      <c r="BV302" s="78"/>
      <c r="BW302" s="78"/>
      <c r="BX302" s="78"/>
      <c r="BY302" s="78"/>
      <c r="BZ302" s="78"/>
      <c r="CA302" s="78"/>
      <c r="CB302" s="78"/>
      <c r="CC302" s="78"/>
      <c r="CD302" s="78"/>
      <c r="CE302" s="78"/>
      <c r="CF302" s="80"/>
    </row>
    <row r="303" spans="1:84" ht="15.75" x14ac:dyDescent="0.25">
      <c r="A303" s="149" t="s">
        <v>327</v>
      </c>
      <c r="B303" s="150" t="s">
        <v>451</v>
      </c>
      <c r="C303" s="84"/>
      <c r="D303" s="95" t="s">
        <v>452</v>
      </c>
      <c r="E303" s="150"/>
      <c r="F303" s="16" t="s">
        <v>13</v>
      </c>
      <c r="G303" s="16" t="s">
        <v>13</v>
      </c>
      <c r="H303" s="75" t="s">
        <v>353</v>
      </c>
      <c r="I303" s="136">
        <v>0</v>
      </c>
      <c r="J303" s="17" t="s">
        <v>79</v>
      </c>
      <c r="K303" s="142">
        <v>46218</v>
      </c>
      <c r="L303" s="142">
        <v>46341</v>
      </c>
      <c r="M303" s="76"/>
      <c r="N303" s="77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92"/>
      <c r="AJ303" s="92"/>
      <c r="AK303" s="92"/>
      <c r="AL303" s="92"/>
      <c r="AM303" s="92"/>
      <c r="AN303" s="92"/>
      <c r="AO303" s="92"/>
      <c r="AP303" s="92"/>
      <c r="AQ303" s="92"/>
      <c r="AR303" s="92"/>
      <c r="AS303" s="92"/>
      <c r="AT303" s="92"/>
      <c r="AU303" s="92"/>
      <c r="AV303" s="92"/>
      <c r="AW303" s="92"/>
      <c r="AX303" s="78"/>
      <c r="AY303" s="78"/>
      <c r="AZ303" s="78"/>
      <c r="BA303" s="78"/>
      <c r="BB303" s="78"/>
      <c r="BC303" s="78"/>
      <c r="BD303" s="78"/>
      <c r="BE303" s="78"/>
      <c r="BF303" s="78"/>
      <c r="BG303" s="78"/>
      <c r="BH303" s="78"/>
      <c r="BI303" s="78"/>
      <c r="BJ303" s="78"/>
      <c r="BK303" s="78"/>
      <c r="BL303" s="78"/>
      <c r="BM303" s="78"/>
      <c r="BN303" s="78"/>
      <c r="BO303" s="78"/>
      <c r="BP303" s="78"/>
      <c r="BQ303" s="78"/>
      <c r="BR303" s="78"/>
      <c r="BS303" s="78"/>
      <c r="BT303" s="78"/>
      <c r="BU303" s="78"/>
      <c r="BV303" s="78"/>
      <c r="BW303" s="78"/>
      <c r="BX303" s="78"/>
      <c r="BY303" s="78"/>
      <c r="BZ303" s="78"/>
      <c r="CA303" s="78"/>
      <c r="CB303" s="78"/>
      <c r="CC303" s="78"/>
      <c r="CD303" s="78"/>
      <c r="CE303" s="78"/>
      <c r="CF303" s="80"/>
    </row>
    <row r="304" spans="1:84" ht="15.75" x14ac:dyDescent="0.25">
      <c r="A304" s="149" t="s">
        <v>327</v>
      </c>
      <c r="B304" s="150" t="s">
        <v>453</v>
      </c>
      <c r="C304" s="84"/>
      <c r="D304" s="95" t="s">
        <v>454</v>
      </c>
      <c r="E304" s="150"/>
      <c r="F304" s="16" t="s">
        <v>13</v>
      </c>
      <c r="G304" s="16" t="s">
        <v>13</v>
      </c>
      <c r="H304" s="75" t="s">
        <v>353</v>
      </c>
      <c r="I304" s="136">
        <v>0</v>
      </c>
      <c r="J304" s="17" t="s">
        <v>79</v>
      </c>
      <c r="K304" s="142">
        <v>46218</v>
      </c>
      <c r="L304" s="142">
        <v>46295</v>
      </c>
      <c r="M304" s="76"/>
      <c r="N304" s="77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92"/>
      <c r="AJ304" s="92"/>
      <c r="AK304" s="92"/>
      <c r="AL304" s="92"/>
      <c r="AM304" s="92"/>
      <c r="AN304" s="92"/>
      <c r="AO304" s="92"/>
      <c r="AP304" s="92"/>
      <c r="AQ304" s="92"/>
      <c r="AR304" s="92"/>
      <c r="AS304" s="78"/>
      <c r="AT304" s="78"/>
      <c r="AU304" s="78"/>
      <c r="AV304" s="78"/>
      <c r="AW304" s="78"/>
      <c r="AX304" s="78"/>
      <c r="AY304" s="78"/>
      <c r="AZ304" s="78"/>
      <c r="BA304" s="78"/>
      <c r="BB304" s="78"/>
      <c r="BC304" s="78"/>
      <c r="BD304" s="78"/>
      <c r="BE304" s="78"/>
      <c r="BF304" s="78"/>
      <c r="BG304" s="78"/>
      <c r="BH304" s="78"/>
      <c r="BI304" s="78"/>
      <c r="BJ304" s="78"/>
      <c r="BK304" s="78"/>
      <c r="BL304" s="78"/>
      <c r="BM304" s="78"/>
      <c r="BN304" s="78"/>
      <c r="BO304" s="78"/>
      <c r="BP304" s="78"/>
      <c r="BQ304" s="78"/>
      <c r="BR304" s="78"/>
      <c r="BS304" s="78"/>
      <c r="BT304" s="78"/>
      <c r="BU304" s="78"/>
      <c r="BV304" s="78"/>
      <c r="BW304" s="78"/>
      <c r="BX304" s="78"/>
      <c r="BY304" s="78"/>
      <c r="BZ304" s="78"/>
      <c r="CA304" s="78"/>
      <c r="CB304" s="78"/>
      <c r="CC304" s="78"/>
      <c r="CD304" s="78"/>
      <c r="CE304" s="78"/>
      <c r="CF304" s="80"/>
    </row>
    <row r="305" spans="1:84" ht="15.75" x14ac:dyDescent="0.25">
      <c r="A305" s="149" t="s">
        <v>327</v>
      </c>
      <c r="B305" s="150" t="s">
        <v>455</v>
      </c>
      <c r="C305" s="84"/>
      <c r="D305" s="95" t="s">
        <v>456</v>
      </c>
      <c r="E305" s="150"/>
      <c r="F305" s="16" t="s">
        <v>13</v>
      </c>
      <c r="G305" s="16" t="s">
        <v>13</v>
      </c>
      <c r="H305" s="75" t="s">
        <v>353</v>
      </c>
      <c r="I305" s="136">
        <v>0</v>
      </c>
      <c r="J305" s="17" t="s">
        <v>79</v>
      </c>
      <c r="K305" s="142">
        <v>46296</v>
      </c>
      <c r="L305" s="142">
        <v>46341</v>
      </c>
      <c r="M305" s="76"/>
      <c r="N305" s="77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92"/>
      <c r="AU305" s="92"/>
      <c r="AV305" s="92"/>
      <c r="AW305" s="92"/>
      <c r="AX305" s="78"/>
      <c r="AY305" s="78"/>
      <c r="AZ305" s="78"/>
      <c r="BA305" s="78"/>
      <c r="BB305" s="78"/>
      <c r="BC305" s="78"/>
      <c r="BD305" s="78"/>
      <c r="BE305" s="78"/>
      <c r="BF305" s="78"/>
      <c r="BG305" s="78"/>
      <c r="BH305" s="78"/>
      <c r="BI305" s="78"/>
      <c r="BJ305" s="78"/>
      <c r="BK305" s="78"/>
      <c r="BL305" s="78"/>
      <c r="BM305" s="78"/>
      <c r="BN305" s="78"/>
      <c r="BO305" s="78"/>
      <c r="BP305" s="78"/>
      <c r="BQ305" s="78"/>
      <c r="BR305" s="78"/>
      <c r="BS305" s="78"/>
      <c r="BT305" s="78"/>
      <c r="BU305" s="78"/>
      <c r="BV305" s="78"/>
      <c r="BW305" s="78"/>
      <c r="BX305" s="78"/>
      <c r="BY305" s="78"/>
      <c r="BZ305" s="78"/>
      <c r="CA305" s="78"/>
      <c r="CB305" s="78"/>
      <c r="CC305" s="78"/>
      <c r="CD305" s="78"/>
      <c r="CE305" s="78"/>
      <c r="CF305" s="80"/>
    </row>
    <row r="306" spans="1:84" ht="15.75" x14ac:dyDescent="0.25">
      <c r="A306" s="149" t="s">
        <v>327</v>
      </c>
      <c r="B306" s="150" t="s">
        <v>457</v>
      </c>
      <c r="C306" s="84"/>
      <c r="D306" s="94" t="s">
        <v>458</v>
      </c>
      <c r="E306" s="150"/>
      <c r="F306" s="16" t="s">
        <v>13</v>
      </c>
      <c r="G306" s="16" t="s">
        <v>13</v>
      </c>
      <c r="H306" s="75" t="s">
        <v>353</v>
      </c>
      <c r="I306" s="136">
        <f>AVERAGE(I307:I314)</f>
        <v>0</v>
      </c>
      <c r="J306" s="17" t="s">
        <v>79</v>
      </c>
      <c r="K306" s="168"/>
      <c r="L306" s="168"/>
      <c r="M306" s="76"/>
      <c r="N306" s="77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78"/>
      <c r="AZ306" s="78"/>
      <c r="BA306" s="78"/>
      <c r="BB306" s="78"/>
      <c r="BC306" s="78"/>
      <c r="BD306" s="78"/>
      <c r="BE306" s="78"/>
      <c r="BF306" s="78"/>
      <c r="BG306" s="78"/>
      <c r="BH306" s="78"/>
      <c r="BI306" s="78"/>
      <c r="BJ306" s="78"/>
      <c r="BK306" s="78"/>
      <c r="BL306" s="78"/>
      <c r="BM306" s="78"/>
      <c r="BN306" s="78"/>
      <c r="BO306" s="78"/>
      <c r="BP306" s="78"/>
      <c r="BQ306" s="78"/>
      <c r="BR306" s="78"/>
      <c r="BS306" s="78"/>
      <c r="BT306" s="78"/>
      <c r="BU306" s="78"/>
      <c r="BV306" s="78"/>
      <c r="BW306" s="78"/>
      <c r="BX306" s="78"/>
      <c r="BY306" s="78"/>
      <c r="BZ306" s="78"/>
      <c r="CA306" s="78"/>
      <c r="CB306" s="78"/>
      <c r="CC306" s="78"/>
      <c r="CD306" s="78"/>
      <c r="CE306" s="78"/>
      <c r="CF306" s="80"/>
    </row>
    <row r="307" spans="1:84" ht="15.75" x14ac:dyDescent="0.25">
      <c r="A307" s="149" t="s">
        <v>327</v>
      </c>
      <c r="B307" s="150" t="s">
        <v>459</v>
      </c>
      <c r="C307" s="84"/>
      <c r="D307" s="95" t="s">
        <v>460</v>
      </c>
      <c r="E307" s="150"/>
      <c r="F307" s="16" t="s">
        <v>13</v>
      </c>
      <c r="G307" s="16" t="s">
        <v>13</v>
      </c>
      <c r="H307" s="75" t="s">
        <v>353</v>
      </c>
      <c r="I307" s="172">
        <v>0</v>
      </c>
      <c r="J307" s="17" t="s">
        <v>79</v>
      </c>
      <c r="K307" s="142">
        <v>46249</v>
      </c>
      <c r="L307" s="142">
        <v>46371</v>
      </c>
      <c r="M307" s="76"/>
      <c r="N307" s="77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92"/>
      <c r="AO307" s="92"/>
      <c r="AP307" s="92"/>
      <c r="AQ307" s="92"/>
      <c r="AR307" s="92"/>
      <c r="AS307" s="92"/>
      <c r="AT307" s="92"/>
      <c r="AU307" s="92"/>
      <c r="AV307" s="92"/>
      <c r="AW307" s="92"/>
      <c r="AX307" s="92"/>
      <c r="AY307" s="92"/>
      <c r="AZ307" s="92"/>
      <c r="BA307" s="92"/>
      <c r="BB307" s="92"/>
      <c r="BC307" s="78"/>
      <c r="BD307" s="78"/>
      <c r="BE307" s="78"/>
      <c r="BF307" s="78"/>
      <c r="BG307" s="78"/>
      <c r="BH307" s="78"/>
      <c r="BI307" s="78"/>
      <c r="BJ307" s="78"/>
      <c r="BK307" s="78"/>
      <c r="BL307" s="78"/>
      <c r="BM307" s="78"/>
      <c r="BN307" s="78"/>
      <c r="BO307" s="78"/>
      <c r="BP307" s="78"/>
      <c r="BQ307" s="78"/>
      <c r="BR307" s="78"/>
      <c r="BS307" s="78"/>
      <c r="BT307" s="78"/>
      <c r="BU307" s="78"/>
      <c r="BV307" s="78"/>
      <c r="BW307" s="78"/>
      <c r="BX307" s="78"/>
      <c r="BY307" s="78"/>
      <c r="BZ307" s="78"/>
      <c r="CA307" s="78"/>
      <c r="CB307" s="78"/>
      <c r="CC307" s="78"/>
      <c r="CD307" s="78"/>
      <c r="CE307" s="78"/>
      <c r="CF307" s="80"/>
    </row>
    <row r="308" spans="1:84" ht="15.75" x14ac:dyDescent="0.25">
      <c r="A308" s="149" t="s">
        <v>327</v>
      </c>
      <c r="B308" s="150" t="s">
        <v>461</v>
      </c>
      <c r="C308" s="84"/>
      <c r="D308" s="95" t="s">
        <v>462</v>
      </c>
      <c r="E308" s="150"/>
      <c r="F308" s="16" t="s">
        <v>13</v>
      </c>
      <c r="G308" s="16" t="s">
        <v>13</v>
      </c>
      <c r="H308" s="75" t="s">
        <v>353</v>
      </c>
      <c r="I308" s="136">
        <v>0</v>
      </c>
      <c r="J308" s="17" t="s">
        <v>79</v>
      </c>
      <c r="K308" s="142">
        <v>46249</v>
      </c>
      <c r="L308" s="142">
        <v>46326</v>
      </c>
      <c r="M308" s="76"/>
      <c r="N308" s="77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92"/>
      <c r="AO308" s="92"/>
      <c r="AP308" s="92"/>
      <c r="AQ308" s="92"/>
      <c r="AR308" s="92"/>
      <c r="AS308" s="92"/>
      <c r="AT308" s="92"/>
      <c r="AU308" s="92"/>
      <c r="AV308" s="78"/>
      <c r="AW308" s="78"/>
      <c r="AX308" s="78"/>
      <c r="AY308" s="78"/>
      <c r="AZ308" s="78"/>
      <c r="BA308" s="78"/>
      <c r="BB308" s="78"/>
      <c r="BC308" s="78"/>
      <c r="BD308" s="78"/>
      <c r="BE308" s="78"/>
      <c r="BF308" s="78"/>
      <c r="BG308" s="78"/>
      <c r="BH308" s="78"/>
      <c r="BI308" s="78"/>
      <c r="BJ308" s="78"/>
      <c r="BK308" s="78"/>
      <c r="BL308" s="78"/>
      <c r="BM308" s="78"/>
      <c r="BN308" s="78"/>
      <c r="BO308" s="78"/>
      <c r="BP308" s="78"/>
      <c r="BQ308" s="78"/>
      <c r="BR308" s="78"/>
      <c r="BS308" s="78"/>
      <c r="BT308" s="78"/>
      <c r="BU308" s="78"/>
      <c r="BV308" s="78"/>
      <c r="BW308" s="78"/>
      <c r="BX308" s="78"/>
      <c r="BY308" s="78"/>
      <c r="BZ308" s="78"/>
      <c r="CA308" s="78"/>
      <c r="CB308" s="78"/>
      <c r="CC308" s="78"/>
      <c r="CD308" s="78"/>
      <c r="CE308" s="78"/>
      <c r="CF308" s="80"/>
    </row>
    <row r="309" spans="1:84" ht="15.75" x14ac:dyDescent="0.25">
      <c r="A309" s="149" t="s">
        <v>327</v>
      </c>
      <c r="B309" s="150" t="s">
        <v>463</v>
      </c>
      <c r="C309" s="84"/>
      <c r="D309" s="95" t="s">
        <v>464</v>
      </c>
      <c r="E309" s="150"/>
      <c r="F309" s="16" t="s">
        <v>13</v>
      </c>
      <c r="G309" s="16" t="s">
        <v>13</v>
      </c>
      <c r="H309" s="75" t="s">
        <v>353</v>
      </c>
      <c r="I309" s="136">
        <v>0</v>
      </c>
      <c r="J309" s="17" t="s">
        <v>79</v>
      </c>
      <c r="K309" s="142">
        <v>46249</v>
      </c>
      <c r="L309" s="142">
        <v>46295</v>
      </c>
      <c r="M309" s="76"/>
      <c r="N309" s="77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92"/>
      <c r="AO309" s="92"/>
      <c r="AP309" s="92"/>
      <c r="AQ309" s="92"/>
      <c r="AR309" s="92"/>
      <c r="AS309" s="78"/>
      <c r="AT309" s="78"/>
      <c r="AU309" s="78"/>
      <c r="AV309" s="78"/>
      <c r="AW309" s="78"/>
      <c r="AX309" s="78"/>
      <c r="AY309" s="78"/>
      <c r="AZ309" s="78"/>
      <c r="BA309" s="78"/>
      <c r="BB309" s="78"/>
      <c r="BC309" s="78"/>
      <c r="BD309" s="78"/>
      <c r="BE309" s="78"/>
      <c r="BF309" s="78"/>
      <c r="BG309" s="78"/>
      <c r="BH309" s="78"/>
      <c r="BI309" s="78"/>
      <c r="BJ309" s="78"/>
      <c r="BK309" s="78"/>
      <c r="BL309" s="78"/>
      <c r="BM309" s="78"/>
      <c r="BN309" s="78"/>
      <c r="BO309" s="78"/>
      <c r="BP309" s="78"/>
      <c r="BQ309" s="78"/>
      <c r="BR309" s="78"/>
      <c r="BS309" s="78"/>
      <c r="BT309" s="78"/>
      <c r="BU309" s="78"/>
      <c r="BV309" s="78"/>
      <c r="BW309" s="78"/>
      <c r="BX309" s="78"/>
      <c r="BY309" s="78"/>
      <c r="BZ309" s="78"/>
      <c r="CA309" s="78"/>
      <c r="CB309" s="78"/>
      <c r="CC309" s="78"/>
      <c r="CD309" s="78"/>
      <c r="CE309" s="78"/>
      <c r="CF309" s="80"/>
    </row>
    <row r="310" spans="1:84" ht="15.75" x14ac:dyDescent="0.25">
      <c r="A310" s="149" t="s">
        <v>327</v>
      </c>
      <c r="B310" s="150" t="s">
        <v>465</v>
      </c>
      <c r="C310" s="84"/>
      <c r="D310" s="95" t="s">
        <v>466</v>
      </c>
      <c r="E310" s="150"/>
      <c r="F310" s="16" t="s">
        <v>13</v>
      </c>
      <c r="G310" s="16" t="s">
        <v>13</v>
      </c>
      <c r="H310" s="75" t="s">
        <v>353</v>
      </c>
      <c r="I310" s="136">
        <v>0</v>
      </c>
      <c r="J310" s="17" t="s">
        <v>79</v>
      </c>
      <c r="K310" s="142">
        <v>46249</v>
      </c>
      <c r="L310" s="142">
        <v>46295</v>
      </c>
      <c r="M310" s="76"/>
      <c r="N310" s="77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92"/>
      <c r="AO310" s="92"/>
      <c r="AP310" s="92"/>
      <c r="AQ310" s="92"/>
      <c r="AR310" s="92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78"/>
      <c r="BQ310" s="78"/>
      <c r="BR310" s="78"/>
      <c r="BS310" s="78"/>
      <c r="BT310" s="78"/>
      <c r="BU310" s="78"/>
      <c r="BV310" s="78"/>
      <c r="BW310" s="78"/>
      <c r="BX310" s="78"/>
      <c r="BY310" s="78"/>
      <c r="BZ310" s="78"/>
      <c r="CA310" s="78"/>
      <c r="CB310" s="78"/>
      <c r="CC310" s="78"/>
      <c r="CD310" s="78"/>
      <c r="CE310" s="78"/>
      <c r="CF310" s="80"/>
    </row>
    <row r="311" spans="1:84" ht="15.75" x14ac:dyDescent="0.25">
      <c r="A311" s="149" t="s">
        <v>327</v>
      </c>
      <c r="B311" s="150" t="s">
        <v>467</v>
      </c>
      <c r="C311" s="84"/>
      <c r="D311" s="95" t="s">
        <v>468</v>
      </c>
      <c r="E311" s="150"/>
      <c r="F311" s="16" t="s">
        <v>13</v>
      </c>
      <c r="G311" s="16" t="s">
        <v>13</v>
      </c>
      <c r="H311" s="75" t="s">
        <v>353</v>
      </c>
      <c r="I311" s="136">
        <v>0</v>
      </c>
      <c r="J311" s="17" t="s">
        <v>79</v>
      </c>
      <c r="K311" s="142">
        <v>46249</v>
      </c>
      <c r="L311" s="142">
        <v>46295</v>
      </c>
      <c r="M311" s="76"/>
      <c r="N311" s="77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92"/>
      <c r="AO311" s="92"/>
      <c r="AP311" s="92"/>
      <c r="AQ311" s="92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  <c r="BI311" s="78"/>
      <c r="BJ311" s="78"/>
      <c r="BK311" s="78"/>
      <c r="BL311" s="78"/>
      <c r="BM311" s="78"/>
      <c r="BN311" s="78"/>
      <c r="BO311" s="78"/>
      <c r="BP311" s="78"/>
      <c r="BQ311" s="78"/>
      <c r="BR311" s="78"/>
      <c r="BS311" s="78"/>
      <c r="BT311" s="78"/>
      <c r="BU311" s="78"/>
      <c r="BV311" s="78"/>
      <c r="BW311" s="78"/>
      <c r="BX311" s="78"/>
      <c r="BY311" s="78"/>
      <c r="BZ311" s="78"/>
      <c r="CA311" s="78"/>
      <c r="CB311" s="78"/>
      <c r="CC311" s="78"/>
      <c r="CD311" s="78"/>
      <c r="CE311" s="78"/>
      <c r="CF311" s="80"/>
    </row>
    <row r="312" spans="1:84" ht="15.75" x14ac:dyDescent="0.25">
      <c r="A312" s="149" t="s">
        <v>327</v>
      </c>
      <c r="B312" s="150" t="s">
        <v>469</v>
      </c>
      <c r="C312" s="84"/>
      <c r="D312" s="95" t="s">
        <v>470</v>
      </c>
      <c r="E312" s="150"/>
      <c r="F312" s="16" t="s">
        <v>13</v>
      </c>
      <c r="G312" s="16" t="s">
        <v>13</v>
      </c>
      <c r="H312" s="75" t="s">
        <v>353</v>
      </c>
      <c r="I312" s="136">
        <v>0</v>
      </c>
      <c r="J312" s="17" t="s">
        <v>79</v>
      </c>
      <c r="K312" s="142">
        <v>46249</v>
      </c>
      <c r="L312" s="142">
        <v>46371</v>
      </c>
      <c r="M312" s="76"/>
      <c r="N312" s="77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92"/>
      <c r="AO312" s="92"/>
      <c r="AP312" s="92"/>
      <c r="AQ312" s="92"/>
      <c r="AR312" s="92"/>
      <c r="AS312" s="92"/>
      <c r="AT312" s="92"/>
      <c r="AU312" s="92"/>
      <c r="AV312" s="92"/>
      <c r="AW312" s="92"/>
      <c r="AX312" s="92"/>
      <c r="AY312" s="92"/>
      <c r="AZ312" s="92"/>
      <c r="BA312" s="92"/>
      <c r="BB312" s="92"/>
      <c r="BC312" s="78"/>
      <c r="BD312" s="78"/>
      <c r="BE312" s="78"/>
      <c r="BF312" s="78"/>
      <c r="BG312" s="78"/>
      <c r="BH312" s="78"/>
      <c r="BI312" s="78"/>
      <c r="BJ312" s="78"/>
      <c r="BK312" s="78"/>
      <c r="BL312" s="78"/>
      <c r="BM312" s="78"/>
      <c r="BN312" s="78"/>
      <c r="BO312" s="78"/>
      <c r="BP312" s="78"/>
      <c r="BQ312" s="78"/>
      <c r="BR312" s="78"/>
      <c r="BS312" s="78"/>
      <c r="BT312" s="78"/>
      <c r="BU312" s="78"/>
      <c r="BV312" s="78"/>
      <c r="BW312" s="78"/>
      <c r="BX312" s="78"/>
      <c r="BY312" s="78"/>
      <c r="BZ312" s="78"/>
      <c r="CA312" s="78"/>
      <c r="CB312" s="78"/>
      <c r="CC312" s="78"/>
      <c r="CD312" s="78"/>
      <c r="CE312" s="78"/>
      <c r="CF312" s="80"/>
    </row>
    <row r="313" spans="1:84" ht="15.75" x14ac:dyDescent="0.25">
      <c r="A313" s="149" t="s">
        <v>327</v>
      </c>
      <c r="B313" s="150" t="s">
        <v>471</v>
      </c>
      <c r="C313" s="84"/>
      <c r="D313" s="95" t="s">
        <v>472</v>
      </c>
      <c r="E313" s="150"/>
      <c r="F313" s="16" t="s">
        <v>13</v>
      </c>
      <c r="G313" s="16" t="s">
        <v>13</v>
      </c>
      <c r="H313" s="75" t="s">
        <v>353</v>
      </c>
      <c r="I313" s="136">
        <v>0</v>
      </c>
      <c r="J313" s="17" t="s">
        <v>79</v>
      </c>
      <c r="K313" s="142">
        <v>46249</v>
      </c>
      <c r="L313" s="142">
        <v>46341</v>
      </c>
      <c r="M313" s="76"/>
      <c r="N313" s="77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92"/>
      <c r="AO313" s="92"/>
      <c r="AP313" s="92"/>
      <c r="AQ313" s="92"/>
      <c r="AR313" s="92"/>
      <c r="AS313" s="92"/>
      <c r="AT313" s="92"/>
      <c r="AU313" s="92"/>
      <c r="AV313" s="92"/>
      <c r="AW313" s="92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80"/>
    </row>
    <row r="314" spans="1:84" ht="15.75" x14ac:dyDescent="0.25">
      <c r="A314" s="149" t="s">
        <v>327</v>
      </c>
      <c r="B314" s="150" t="s">
        <v>473</v>
      </c>
      <c r="C314" s="84"/>
      <c r="D314" s="95" t="s">
        <v>474</v>
      </c>
      <c r="E314" s="150"/>
      <c r="F314" s="16" t="s">
        <v>13</v>
      </c>
      <c r="G314" s="16" t="s">
        <v>13</v>
      </c>
      <c r="H314" s="75" t="s">
        <v>353</v>
      </c>
      <c r="I314" s="136">
        <v>0</v>
      </c>
      <c r="J314" s="17" t="s">
        <v>79</v>
      </c>
      <c r="K314" s="142">
        <v>46341</v>
      </c>
      <c r="L314" s="142">
        <v>46371</v>
      </c>
      <c r="M314" s="76"/>
      <c r="N314" s="77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92"/>
      <c r="AZ314" s="92"/>
      <c r="BA314" s="92"/>
      <c r="BB314" s="92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80"/>
    </row>
    <row r="315" spans="1:84" ht="15.75" x14ac:dyDescent="0.25">
      <c r="A315" s="149" t="s">
        <v>327</v>
      </c>
      <c r="B315" s="150" t="s">
        <v>475</v>
      </c>
      <c r="C315" s="173" t="s">
        <v>20</v>
      </c>
      <c r="D315" s="69" t="s">
        <v>352</v>
      </c>
      <c r="E315" s="150"/>
      <c r="F315" s="16" t="s">
        <v>13</v>
      </c>
      <c r="G315" s="16" t="s">
        <v>13</v>
      </c>
      <c r="H315" s="105" t="s">
        <v>353</v>
      </c>
      <c r="I315" s="171">
        <f>AVERAGE(I316,I324,I333)</f>
        <v>0</v>
      </c>
      <c r="J315" s="17" t="s">
        <v>79</v>
      </c>
      <c r="K315" s="142">
        <v>46371</v>
      </c>
      <c r="L315" s="142">
        <v>46402</v>
      </c>
      <c r="M315" s="76"/>
      <c r="N315" s="77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78"/>
      <c r="AZ315" s="78"/>
      <c r="BA315" s="78"/>
      <c r="BB315" s="78"/>
      <c r="BC315" s="93"/>
      <c r="BD315" s="93"/>
      <c r="BE315" s="93"/>
      <c r="BF315" s="93"/>
      <c r="BG315" s="78"/>
      <c r="BH315" s="78"/>
      <c r="BI315" s="78"/>
      <c r="BJ315" s="78"/>
      <c r="BK315" s="78"/>
      <c r="BL315" s="78"/>
      <c r="BM315" s="78"/>
      <c r="BN315" s="78"/>
      <c r="BO315" s="78"/>
      <c r="BP315" s="78"/>
      <c r="BQ315" s="78"/>
      <c r="BR315" s="78"/>
      <c r="BS315" s="78"/>
      <c r="BT315" s="78"/>
      <c r="BU315" s="78"/>
      <c r="BV315" s="78"/>
      <c r="BW315" s="78"/>
      <c r="BX315" s="78"/>
      <c r="BY315" s="78"/>
      <c r="BZ315" s="78"/>
      <c r="CA315" s="78"/>
      <c r="CB315" s="78"/>
      <c r="CC315" s="78"/>
      <c r="CD315" s="78"/>
      <c r="CE315" s="78"/>
      <c r="CF315" s="80"/>
    </row>
    <row r="316" spans="1:84" ht="15.75" x14ac:dyDescent="0.25">
      <c r="A316" s="149" t="s">
        <v>327</v>
      </c>
      <c r="B316" s="150" t="s">
        <v>476</v>
      </c>
      <c r="C316" s="173" t="s">
        <v>20</v>
      </c>
      <c r="D316" s="94" t="s">
        <v>442</v>
      </c>
      <c r="E316" s="150"/>
      <c r="F316" s="16" t="s">
        <v>13</v>
      </c>
      <c r="G316" s="16" t="s">
        <v>13</v>
      </c>
      <c r="H316" s="75" t="s">
        <v>353</v>
      </c>
      <c r="I316" s="172">
        <v>0</v>
      </c>
      <c r="J316" s="17" t="s">
        <v>79</v>
      </c>
      <c r="K316" s="142">
        <v>46371</v>
      </c>
      <c r="L316" s="142">
        <v>46402</v>
      </c>
      <c r="M316" s="76"/>
      <c r="N316" s="77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78"/>
      <c r="AZ316" s="78"/>
      <c r="BA316" s="78"/>
      <c r="BB316" s="78"/>
      <c r="BC316" s="92"/>
      <c r="BD316" s="92"/>
      <c r="BE316" s="92"/>
      <c r="BF316" s="92"/>
      <c r="BG316" s="78"/>
      <c r="BH316" s="78"/>
      <c r="BI316" s="78"/>
      <c r="BJ316" s="78"/>
      <c r="BK316" s="78"/>
      <c r="BL316" s="78"/>
      <c r="BM316" s="78"/>
      <c r="BN316" s="78"/>
      <c r="BO316" s="78"/>
      <c r="BP316" s="78"/>
      <c r="BQ316" s="78"/>
      <c r="BR316" s="78"/>
      <c r="BS316" s="78"/>
      <c r="BT316" s="78"/>
      <c r="BU316" s="78"/>
      <c r="BV316" s="78"/>
      <c r="BW316" s="78"/>
      <c r="BX316" s="78"/>
      <c r="BY316" s="78"/>
      <c r="BZ316" s="78"/>
      <c r="CA316" s="78"/>
      <c r="CB316" s="78"/>
      <c r="CC316" s="78"/>
      <c r="CD316" s="78"/>
      <c r="CE316" s="78"/>
      <c r="CF316" s="80"/>
    </row>
    <row r="317" spans="1:84" ht="15.75" x14ac:dyDescent="0.25">
      <c r="A317" s="149" t="s">
        <v>327</v>
      </c>
      <c r="B317" s="150" t="s">
        <v>477</v>
      </c>
      <c r="C317" s="173" t="s">
        <v>20</v>
      </c>
      <c r="D317" s="95" t="s">
        <v>444</v>
      </c>
      <c r="E317" s="150"/>
      <c r="F317" s="16" t="s">
        <v>13</v>
      </c>
      <c r="G317" s="16" t="s">
        <v>13</v>
      </c>
      <c r="H317" s="75" t="s">
        <v>353</v>
      </c>
      <c r="I317" s="136">
        <v>0</v>
      </c>
      <c r="J317" s="17" t="s">
        <v>79</v>
      </c>
      <c r="K317" s="142">
        <v>46371</v>
      </c>
      <c r="L317" s="142">
        <v>46402</v>
      </c>
      <c r="M317" s="76"/>
      <c r="N317" s="77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78"/>
      <c r="AZ317" s="78"/>
      <c r="BA317" s="78"/>
      <c r="BB317" s="78"/>
      <c r="BC317" s="92"/>
      <c r="BD317" s="92"/>
      <c r="BE317" s="92"/>
      <c r="BF317" s="92"/>
      <c r="BG317" s="78"/>
      <c r="BH317" s="78"/>
      <c r="BI317" s="78"/>
      <c r="BJ317" s="78"/>
      <c r="BK317" s="78"/>
      <c r="BL317" s="78"/>
      <c r="BM317" s="78"/>
      <c r="BN317" s="78"/>
      <c r="BO317" s="78"/>
      <c r="BP317" s="78"/>
      <c r="BQ317" s="78"/>
      <c r="BR317" s="78"/>
      <c r="BS317" s="78"/>
      <c r="BT317" s="78"/>
      <c r="BU317" s="78"/>
      <c r="BV317" s="78"/>
      <c r="BW317" s="78"/>
      <c r="BX317" s="78"/>
      <c r="BY317" s="78"/>
      <c r="BZ317" s="78"/>
      <c r="CA317" s="78"/>
      <c r="CB317" s="78"/>
      <c r="CC317" s="78"/>
      <c r="CD317" s="78"/>
      <c r="CE317" s="78"/>
      <c r="CF317" s="80"/>
    </row>
    <row r="318" spans="1:84" ht="15.75" x14ac:dyDescent="0.25">
      <c r="A318" s="149" t="s">
        <v>327</v>
      </c>
      <c r="B318" s="150" t="s">
        <v>478</v>
      </c>
      <c r="C318" s="173" t="s">
        <v>20</v>
      </c>
      <c r="D318" s="95" t="s">
        <v>446</v>
      </c>
      <c r="E318" s="150"/>
      <c r="F318" s="16" t="s">
        <v>13</v>
      </c>
      <c r="G318" s="16" t="s">
        <v>13</v>
      </c>
      <c r="H318" s="75" t="s">
        <v>353</v>
      </c>
      <c r="I318" s="136">
        <v>0</v>
      </c>
      <c r="J318" s="17" t="s">
        <v>79</v>
      </c>
      <c r="K318" s="142">
        <v>46371</v>
      </c>
      <c r="L318" s="142">
        <v>46387</v>
      </c>
      <c r="M318" s="76"/>
      <c r="N318" s="77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  <c r="AY318" s="78"/>
      <c r="AZ318" s="78"/>
      <c r="BA318" s="78"/>
      <c r="BB318" s="78"/>
      <c r="BC318" s="92"/>
      <c r="BD318" s="92"/>
      <c r="BE318" s="78"/>
      <c r="BF318" s="78"/>
      <c r="BG318" s="78"/>
      <c r="BH318" s="78"/>
      <c r="BI318" s="78"/>
      <c r="BJ318" s="78"/>
      <c r="BK318" s="78"/>
      <c r="BL318" s="78"/>
      <c r="BM318" s="78"/>
      <c r="BN318" s="78"/>
      <c r="BO318" s="78"/>
      <c r="BP318" s="78"/>
      <c r="BQ318" s="78"/>
      <c r="BR318" s="78"/>
      <c r="BS318" s="78"/>
      <c r="BT318" s="78"/>
      <c r="BU318" s="78"/>
      <c r="BV318" s="78"/>
      <c r="BW318" s="78"/>
      <c r="BX318" s="78"/>
      <c r="BY318" s="78"/>
      <c r="BZ318" s="78"/>
      <c r="CA318" s="78"/>
      <c r="CB318" s="78"/>
      <c r="CC318" s="78"/>
      <c r="CD318" s="78"/>
      <c r="CE318" s="78"/>
      <c r="CF318" s="80"/>
    </row>
    <row r="319" spans="1:84" ht="15.75" x14ac:dyDescent="0.25">
      <c r="A319" s="149" t="s">
        <v>327</v>
      </c>
      <c r="B319" s="150" t="s">
        <v>479</v>
      </c>
      <c r="C319" s="173" t="s">
        <v>20</v>
      </c>
      <c r="D319" s="95" t="s">
        <v>448</v>
      </c>
      <c r="E319" s="150"/>
      <c r="F319" s="16" t="s">
        <v>13</v>
      </c>
      <c r="G319" s="16" t="s">
        <v>13</v>
      </c>
      <c r="H319" s="75" t="s">
        <v>353</v>
      </c>
      <c r="I319" s="136">
        <v>0</v>
      </c>
      <c r="J319" s="17" t="s">
        <v>79</v>
      </c>
      <c r="K319" s="142">
        <v>46371</v>
      </c>
      <c r="L319" s="142">
        <v>46387</v>
      </c>
      <c r="M319" s="76"/>
      <c r="N319" s="77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78"/>
      <c r="AZ319" s="78"/>
      <c r="BA319" s="78"/>
      <c r="BB319" s="78"/>
      <c r="BC319" s="92"/>
      <c r="BD319" s="92"/>
      <c r="BE319" s="78"/>
      <c r="BF319" s="78"/>
      <c r="BG319" s="78"/>
      <c r="BH319" s="78"/>
      <c r="BI319" s="78"/>
      <c r="BJ319" s="78"/>
      <c r="BK319" s="78"/>
      <c r="BL319" s="78"/>
      <c r="BM319" s="78"/>
      <c r="BN319" s="78"/>
      <c r="BO319" s="78"/>
      <c r="BP319" s="78"/>
      <c r="BQ319" s="78"/>
      <c r="BR319" s="78"/>
      <c r="BS319" s="78"/>
      <c r="BT319" s="78"/>
      <c r="BU319" s="78"/>
      <c r="BV319" s="78"/>
      <c r="BW319" s="78"/>
      <c r="BX319" s="78"/>
      <c r="BY319" s="78"/>
      <c r="BZ319" s="78"/>
      <c r="CA319" s="78"/>
      <c r="CB319" s="78"/>
      <c r="CC319" s="78"/>
      <c r="CD319" s="78"/>
      <c r="CE319" s="78"/>
      <c r="CF319" s="80"/>
    </row>
    <row r="320" spans="1:84" ht="15.75" x14ac:dyDescent="0.25">
      <c r="A320" s="149" t="s">
        <v>327</v>
      </c>
      <c r="B320" s="150" t="s">
        <v>480</v>
      </c>
      <c r="C320" s="173" t="s">
        <v>20</v>
      </c>
      <c r="D320" s="95" t="s">
        <v>450</v>
      </c>
      <c r="E320" s="150"/>
      <c r="F320" s="16" t="s">
        <v>13</v>
      </c>
      <c r="G320" s="16" t="s">
        <v>13</v>
      </c>
      <c r="H320" s="75" t="s">
        <v>353</v>
      </c>
      <c r="I320" s="136">
        <v>0</v>
      </c>
      <c r="J320" s="17" t="s">
        <v>79</v>
      </c>
      <c r="K320" s="142">
        <v>46371</v>
      </c>
      <c r="L320" s="142">
        <v>46387</v>
      </c>
      <c r="M320" s="76"/>
      <c r="N320" s="77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78"/>
      <c r="AZ320" s="78"/>
      <c r="BA320" s="78"/>
      <c r="BB320" s="78"/>
      <c r="BC320" s="92"/>
      <c r="BD320" s="78"/>
      <c r="BE320" s="78"/>
      <c r="BF320" s="78"/>
      <c r="BG320" s="78"/>
      <c r="BH320" s="78"/>
      <c r="BI320" s="78"/>
      <c r="BJ320" s="78"/>
      <c r="BK320" s="78"/>
      <c r="BL320" s="78"/>
      <c r="BM320" s="78"/>
      <c r="BN320" s="78"/>
      <c r="BO320" s="78"/>
      <c r="BP320" s="78"/>
      <c r="BQ320" s="78"/>
      <c r="BR320" s="78"/>
      <c r="BS320" s="78"/>
      <c r="BT320" s="78"/>
      <c r="BU320" s="78"/>
      <c r="BV320" s="78"/>
      <c r="BW320" s="78"/>
      <c r="BX320" s="78"/>
      <c r="BY320" s="78"/>
      <c r="BZ320" s="78"/>
      <c r="CA320" s="78"/>
      <c r="CB320" s="78"/>
      <c r="CC320" s="78"/>
      <c r="CD320" s="78"/>
      <c r="CE320" s="78"/>
      <c r="CF320" s="80"/>
    </row>
    <row r="321" spans="1:84" ht="15.75" x14ac:dyDescent="0.25">
      <c r="A321" s="149" t="s">
        <v>327</v>
      </c>
      <c r="B321" s="150" t="s">
        <v>481</v>
      </c>
      <c r="C321" s="173" t="s">
        <v>20</v>
      </c>
      <c r="D321" s="95" t="s">
        <v>452</v>
      </c>
      <c r="E321" s="150"/>
      <c r="F321" s="16" t="s">
        <v>13</v>
      </c>
      <c r="G321" s="16" t="s">
        <v>13</v>
      </c>
      <c r="H321" s="75" t="s">
        <v>353</v>
      </c>
      <c r="I321" s="136">
        <v>0</v>
      </c>
      <c r="J321" s="17" t="s">
        <v>79</v>
      </c>
      <c r="K321" s="142">
        <v>46371</v>
      </c>
      <c r="L321" s="142">
        <v>46402</v>
      </c>
      <c r="M321" s="76"/>
      <c r="N321" s="77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  <c r="AY321" s="78"/>
      <c r="AZ321" s="78"/>
      <c r="BA321" s="78"/>
      <c r="BB321" s="78"/>
      <c r="BC321" s="92"/>
      <c r="BD321" s="92"/>
      <c r="BE321" s="92"/>
      <c r="BF321" s="92"/>
      <c r="BG321" s="78"/>
      <c r="BH321" s="78"/>
      <c r="BI321" s="78"/>
      <c r="BJ321" s="78"/>
      <c r="BK321" s="78"/>
      <c r="BL321" s="78"/>
      <c r="BM321" s="78"/>
      <c r="BN321" s="78"/>
      <c r="BO321" s="78"/>
      <c r="BP321" s="78"/>
      <c r="BQ321" s="78"/>
      <c r="BR321" s="78"/>
      <c r="BS321" s="78"/>
      <c r="BT321" s="78"/>
      <c r="BU321" s="78"/>
      <c r="BV321" s="78"/>
      <c r="BW321" s="78"/>
      <c r="BX321" s="78"/>
      <c r="BY321" s="78"/>
      <c r="BZ321" s="78"/>
      <c r="CA321" s="78"/>
      <c r="CB321" s="78"/>
      <c r="CC321" s="78"/>
      <c r="CD321" s="78"/>
      <c r="CE321" s="78"/>
      <c r="CF321" s="80"/>
    </row>
    <row r="322" spans="1:84" ht="15.75" x14ac:dyDescent="0.25">
      <c r="A322" s="149" t="s">
        <v>327</v>
      </c>
      <c r="B322" s="150" t="s">
        <v>482</v>
      </c>
      <c r="C322" s="173" t="s">
        <v>20</v>
      </c>
      <c r="D322" s="95" t="s">
        <v>454</v>
      </c>
      <c r="E322" s="150"/>
      <c r="F322" s="16" t="s">
        <v>13</v>
      </c>
      <c r="G322" s="16" t="s">
        <v>13</v>
      </c>
      <c r="H322" s="75" t="s">
        <v>353</v>
      </c>
      <c r="I322" s="136">
        <v>0</v>
      </c>
      <c r="J322" s="17" t="s">
        <v>79</v>
      </c>
      <c r="K322" s="142">
        <v>46371</v>
      </c>
      <c r="L322" s="142">
        <v>46402</v>
      </c>
      <c r="M322" s="76"/>
      <c r="N322" s="77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78"/>
      <c r="AZ322" s="78"/>
      <c r="BA322" s="78"/>
      <c r="BB322" s="78"/>
      <c r="BC322" s="92"/>
      <c r="BD322" s="92"/>
      <c r="BE322" s="92"/>
      <c r="BF322" s="92"/>
      <c r="BG322" s="78"/>
      <c r="BH322" s="78"/>
      <c r="BI322" s="78"/>
      <c r="BJ322" s="78"/>
      <c r="BK322" s="78"/>
      <c r="BL322" s="78"/>
      <c r="BM322" s="78"/>
      <c r="BN322" s="78"/>
      <c r="BO322" s="78"/>
      <c r="BP322" s="78"/>
      <c r="BQ322" s="78"/>
      <c r="BR322" s="78"/>
      <c r="BS322" s="78"/>
      <c r="BT322" s="78"/>
      <c r="BU322" s="78"/>
      <c r="BV322" s="78"/>
      <c r="BW322" s="78"/>
      <c r="BX322" s="78"/>
      <c r="BY322" s="78"/>
      <c r="BZ322" s="78"/>
      <c r="CA322" s="78"/>
      <c r="CB322" s="78"/>
      <c r="CC322" s="78"/>
      <c r="CD322" s="78"/>
      <c r="CE322" s="78"/>
      <c r="CF322" s="80"/>
    </row>
    <row r="323" spans="1:84" ht="15.75" x14ac:dyDescent="0.25">
      <c r="A323" s="149" t="s">
        <v>327</v>
      </c>
      <c r="B323" s="150" t="s">
        <v>483</v>
      </c>
      <c r="C323" s="173" t="s">
        <v>20</v>
      </c>
      <c r="D323" s="95" t="s">
        <v>456</v>
      </c>
      <c r="E323" s="150"/>
      <c r="F323" s="16" t="s">
        <v>13</v>
      </c>
      <c r="G323" s="16" t="s">
        <v>13</v>
      </c>
      <c r="H323" s="75" t="s">
        <v>353</v>
      </c>
      <c r="I323" s="136">
        <v>0</v>
      </c>
      <c r="J323" s="17" t="s">
        <v>79</v>
      </c>
      <c r="K323" s="142">
        <v>46371</v>
      </c>
      <c r="L323" s="142">
        <v>46402</v>
      </c>
      <c r="M323" s="76"/>
      <c r="N323" s="77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92"/>
      <c r="BD323" s="92"/>
      <c r="BE323" s="92"/>
      <c r="BF323" s="92"/>
      <c r="BG323" s="78"/>
      <c r="BH323" s="78"/>
      <c r="BI323" s="78"/>
      <c r="BJ323" s="78"/>
      <c r="BK323" s="78"/>
      <c r="BL323" s="78"/>
      <c r="BM323" s="78"/>
      <c r="BN323" s="78"/>
      <c r="BO323" s="78"/>
      <c r="BP323" s="78"/>
      <c r="BQ323" s="78"/>
      <c r="BR323" s="78"/>
      <c r="BS323" s="78"/>
      <c r="BT323" s="78"/>
      <c r="BU323" s="78"/>
      <c r="BV323" s="78"/>
      <c r="BW323" s="78"/>
      <c r="BX323" s="78"/>
      <c r="BY323" s="78"/>
      <c r="BZ323" s="78"/>
      <c r="CA323" s="78"/>
      <c r="CB323" s="78"/>
      <c r="CC323" s="78"/>
      <c r="CD323" s="78"/>
      <c r="CE323" s="78"/>
      <c r="CF323" s="80"/>
    </row>
    <row r="324" spans="1:84" ht="15.75" x14ac:dyDescent="0.25">
      <c r="A324" s="149" t="s">
        <v>327</v>
      </c>
      <c r="B324" s="150" t="s">
        <v>484</v>
      </c>
      <c r="C324" s="173" t="s">
        <v>20</v>
      </c>
      <c r="D324" s="94" t="s">
        <v>458</v>
      </c>
      <c r="E324" s="150"/>
      <c r="F324" s="16" t="s">
        <v>13</v>
      </c>
      <c r="G324" s="16" t="s">
        <v>13</v>
      </c>
      <c r="H324" s="75" t="s">
        <v>353</v>
      </c>
      <c r="I324" s="172">
        <f>AVERAGE(I325:I332)</f>
        <v>0</v>
      </c>
      <c r="J324" s="17" t="s">
        <v>79</v>
      </c>
      <c r="K324" s="142">
        <v>46371</v>
      </c>
      <c r="L324" s="142">
        <v>46402</v>
      </c>
      <c r="M324" s="76"/>
      <c r="N324" s="77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  <c r="AY324" s="78"/>
      <c r="AZ324" s="78"/>
      <c r="BA324" s="78"/>
      <c r="BB324" s="78"/>
      <c r="BC324" s="92"/>
      <c r="BD324" s="92"/>
      <c r="BE324" s="92"/>
      <c r="BF324" s="92"/>
      <c r="BG324" s="78"/>
      <c r="BH324" s="78"/>
      <c r="BI324" s="78"/>
      <c r="BJ324" s="78"/>
      <c r="BK324" s="78"/>
      <c r="BL324" s="78"/>
      <c r="BM324" s="78"/>
      <c r="BN324" s="78"/>
      <c r="BO324" s="78"/>
      <c r="BP324" s="78"/>
      <c r="BQ324" s="78"/>
      <c r="BR324" s="78"/>
      <c r="BS324" s="78"/>
      <c r="BT324" s="78"/>
      <c r="BU324" s="78"/>
      <c r="BV324" s="78"/>
      <c r="BW324" s="78"/>
      <c r="BX324" s="78"/>
      <c r="BY324" s="78"/>
      <c r="BZ324" s="78"/>
      <c r="CA324" s="78"/>
      <c r="CB324" s="78"/>
      <c r="CC324" s="78"/>
      <c r="CD324" s="78"/>
      <c r="CE324" s="78"/>
      <c r="CF324" s="80"/>
    </row>
    <row r="325" spans="1:84" ht="15.75" x14ac:dyDescent="0.25">
      <c r="A325" s="149" t="s">
        <v>327</v>
      </c>
      <c r="B325" s="150" t="s">
        <v>485</v>
      </c>
      <c r="C325" s="173" t="s">
        <v>20</v>
      </c>
      <c r="D325" s="95" t="s">
        <v>460</v>
      </c>
      <c r="E325" s="150"/>
      <c r="F325" s="16" t="s">
        <v>13</v>
      </c>
      <c r="G325" s="16" t="s">
        <v>13</v>
      </c>
      <c r="H325" s="75" t="s">
        <v>353</v>
      </c>
      <c r="I325" s="136">
        <v>0</v>
      </c>
      <c r="J325" s="17" t="s">
        <v>79</v>
      </c>
      <c r="K325" s="142">
        <v>46371</v>
      </c>
      <c r="L325" s="142">
        <v>46387</v>
      </c>
      <c r="M325" s="76"/>
      <c r="N325" s="77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78"/>
      <c r="AZ325" s="78"/>
      <c r="BA325" s="78"/>
      <c r="BB325" s="78"/>
      <c r="BC325" s="92"/>
      <c r="BD325" s="78"/>
      <c r="BE325" s="78"/>
      <c r="BF325" s="78"/>
      <c r="BG325" s="78"/>
      <c r="BH325" s="78"/>
      <c r="BI325" s="78"/>
      <c r="BJ325" s="78"/>
      <c r="BK325" s="78"/>
      <c r="BL325" s="78"/>
      <c r="BM325" s="78"/>
      <c r="BN325" s="78"/>
      <c r="BO325" s="78"/>
      <c r="BP325" s="78"/>
      <c r="BQ325" s="78"/>
      <c r="BR325" s="78"/>
      <c r="BS325" s="78"/>
      <c r="BT325" s="78"/>
      <c r="BU325" s="78"/>
      <c r="BV325" s="78"/>
      <c r="BW325" s="78"/>
      <c r="BX325" s="78"/>
      <c r="BY325" s="78"/>
      <c r="BZ325" s="78"/>
      <c r="CA325" s="78"/>
      <c r="CB325" s="78"/>
      <c r="CC325" s="78"/>
      <c r="CD325" s="78"/>
      <c r="CE325" s="78"/>
      <c r="CF325" s="80"/>
    </row>
    <row r="326" spans="1:84" ht="15.75" x14ac:dyDescent="0.25">
      <c r="A326" s="149" t="s">
        <v>327</v>
      </c>
      <c r="B326" s="150" t="s">
        <v>486</v>
      </c>
      <c r="C326" s="173" t="s">
        <v>20</v>
      </c>
      <c r="D326" s="95" t="s">
        <v>462</v>
      </c>
      <c r="E326" s="150"/>
      <c r="F326" s="16" t="s">
        <v>13</v>
      </c>
      <c r="G326" s="16" t="s">
        <v>13</v>
      </c>
      <c r="H326" s="75" t="s">
        <v>353</v>
      </c>
      <c r="I326" s="136">
        <v>0</v>
      </c>
      <c r="J326" s="17" t="s">
        <v>79</v>
      </c>
      <c r="K326" s="142">
        <v>46371</v>
      </c>
      <c r="L326" s="142">
        <v>46387</v>
      </c>
      <c r="M326" s="76"/>
      <c r="N326" s="77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  <c r="AY326" s="78"/>
      <c r="AZ326" s="78"/>
      <c r="BA326" s="78"/>
      <c r="BB326" s="78"/>
      <c r="BC326" s="92"/>
      <c r="BD326" s="78"/>
      <c r="BE326" s="78"/>
      <c r="BF326" s="78"/>
      <c r="BG326" s="78"/>
      <c r="BH326" s="78"/>
      <c r="BI326" s="78"/>
      <c r="BJ326" s="78"/>
      <c r="BK326" s="78"/>
      <c r="BL326" s="78"/>
      <c r="BM326" s="78"/>
      <c r="BN326" s="78"/>
      <c r="BO326" s="78"/>
      <c r="BP326" s="78"/>
      <c r="BQ326" s="78"/>
      <c r="BR326" s="78"/>
      <c r="BS326" s="78"/>
      <c r="BT326" s="78"/>
      <c r="BU326" s="78"/>
      <c r="BV326" s="78"/>
      <c r="BW326" s="78"/>
      <c r="BX326" s="78"/>
      <c r="BY326" s="78"/>
      <c r="BZ326" s="78"/>
      <c r="CA326" s="78"/>
      <c r="CB326" s="78"/>
      <c r="CC326" s="78"/>
      <c r="CD326" s="78"/>
      <c r="CE326" s="78"/>
      <c r="CF326" s="80"/>
    </row>
    <row r="327" spans="1:84" ht="15.75" x14ac:dyDescent="0.25">
      <c r="A327" s="149" t="s">
        <v>327</v>
      </c>
      <c r="B327" s="150" t="s">
        <v>487</v>
      </c>
      <c r="C327" s="173" t="s">
        <v>20</v>
      </c>
      <c r="D327" s="95" t="s">
        <v>464</v>
      </c>
      <c r="E327" s="150"/>
      <c r="F327" s="16" t="s">
        <v>13</v>
      </c>
      <c r="G327" s="16" t="s">
        <v>13</v>
      </c>
      <c r="H327" s="75" t="s">
        <v>353</v>
      </c>
      <c r="I327" s="136">
        <v>0</v>
      </c>
      <c r="J327" s="17" t="s">
        <v>79</v>
      </c>
      <c r="K327" s="142">
        <v>46371</v>
      </c>
      <c r="L327" s="142">
        <v>46402</v>
      </c>
      <c r="M327" s="76"/>
      <c r="N327" s="77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78"/>
      <c r="AZ327" s="78"/>
      <c r="BA327" s="78"/>
      <c r="BB327" s="78"/>
      <c r="BC327" s="92"/>
      <c r="BD327" s="92"/>
      <c r="BE327" s="92"/>
      <c r="BF327" s="78"/>
      <c r="BG327" s="78"/>
      <c r="BH327" s="78"/>
      <c r="BI327" s="78"/>
      <c r="BJ327" s="78"/>
      <c r="BK327" s="78"/>
      <c r="BL327" s="78"/>
      <c r="BM327" s="78"/>
      <c r="BN327" s="78"/>
      <c r="BO327" s="78"/>
      <c r="BP327" s="78"/>
      <c r="BQ327" s="78"/>
      <c r="BR327" s="78"/>
      <c r="BS327" s="78"/>
      <c r="BT327" s="78"/>
      <c r="BU327" s="78"/>
      <c r="BV327" s="78"/>
      <c r="BW327" s="78"/>
      <c r="BX327" s="78"/>
      <c r="BY327" s="78"/>
      <c r="BZ327" s="78"/>
      <c r="CA327" s="78"/>
      <c r="CB327" s="78"/>
      <c r="CC327" s="78"/>
      <c r="CD327" s="78"/>
      <c r="CE327" s="78"/>
      <c r="CF327" s="80"/>
    </row>
    <row r="328" spans="1:84" ht="15.75" x14ac:dyDescent="0.25">
      <c r="A328" s="149" t="s">
        <v>327</v>
      </c>
      <c r="B328" s="150" t="s">
        <v>488</v>
      </c>
      <c r="C328" s="173" t="s">
        <v>20</v>
      </c>
      <c r="D328" s="95" t="s">
        <v>466</v>
      </c>
      <c r="E328" s="150"/>
      <c r="F328" s="16" t="s">
        <v>13</v>
      </c>
      <c r="G328" s="16" t="s">
        <v>13</v>
      </c>
      <c r="H328" s="75" t="s">
        <v>353</v>
      </c>
      <c r="I328" s="136">
        <v>0</v>
      </c>
      <c r="J328" s="17" t="s">
        <v>79</v>
      </c>
      <c r="K328" s="142">
        <v>46371</v>
      </c>
      <c r="L328" s="142">
        <v>46402</v>
      </c>
      <c r="M328" s="76"/>
      <c r="N328" s="77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78"/>
      <c r="AZ328" s="78"/>
      <c r="BA328" s="78"/>
      <c r="BB328" s="78"/>
      <c r="BC328" s="92"/>
      <c r="BD328" s="92"/>
      <c r="BE328" s="92"/>
      <c r="BF328" s="92"/>
      <c r="BG328" s="78"/>
      <c r="BH328" s="78"/>
      <c r="BI328" s="78"/>
      <c r="BJ328" s="78"/>
      <c r="BK328" s="78"/>
      <c r="BL328" s="78"/>
      <c r="BM328" s="78"/>
      <c r="BN328" s="78"/>
      <c r="BO328" s="78"/>
      <c r="BP328" s="78"/>
      <c r="BQ328" s="78"/>
      <c r="BR328" s="78"/>
      <c r="BS328" s="78"/>
      <c r="BT328" s="78"/>
      <c r="BU328" s="78"/>
      <c r="BV328" s="78"/>
      <c r="BW328" s="78"/>
      <c r="BX328" s="78"/>
      <c r="BY328" s="78"/>
      <c r="BZ328" s="78"/>
      <c r="CA328" s="78"/>
      <c r="CB328" s="78"/>
      <c r="CC328" s="78"/>
      <c r="CD328" s="78"/>
      <c r="CE328" s="78"/>
      <c r="CF328" s="80"/>
    </row>
    <row r="329" spans="1:84" ht="15.75" x14ac:dyDescent="0.25">
      <c r="A329" s="149" t="s">
        <v>327</v>
      </c>
      <c r="B329" s="150" t="s">
        <v>489</v>
      </c>
      <c r="C329" s="173" t="s">
        <v>20</v>
      </c>
      <c r="D329" s="95" t="s">
        <v>468</v>
      </c>
      <c r="E329" s="150"/>
      <c r="F329" s="16" t="s">
        <v>13</v>
      </c>
      <c r="G329" s="16" t="s">
        <v>13</v>
      </c>
      <c r="H329" s="75" t="s">
        <v>353</v>
      </c>
      <c r="I329" s="136">
        <v>0</v>
      </c>
      <c r="J329" s="17" t="s">
        <v>79</v>
      </c>
      <c r="K329" s="142">
        <v>46371</v>
      </c>
      <c r="L329" s="142">
        <v>46402</v>
      </c>
      <c r="M329" s="76"/>
      <c r="N329" s="77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78"/>
      <c r="AZ329" s="78"/>
      <c r="BA329" s="78"/>
      <c r="BB329" s="78"/>
      <c r="BC329" s="92"/>
      <c r="BD329" s="92"/>
      <c r="BE329" s="92"/>
      <c r="BF329" s="92"/>
      <c r="BG329" s="78"/>
      <c r="BH329" s="78"/>
      <c r="BI329" s="78"/>
      <c r="BJ329" s="78"/>
      <c r="BK329" s="78"/>
      <c r="BL329" s="78"/>
      <c r="BM329" s="78"/>
      <c r="BN329" s="78"/>
      <c r="BO329" s="78"/>
      <c r="BP329" s="78"/>
      <c r="BQ329" s="78"/>
      <c r="BR329" s="78"/>
      <c r="BS329" s="78"/>
      <c r="BT329" s="78"/>
      <c r="BU329" s="78"/>
      <c r="BV329" s="78"/>
      <c r="BW329" s="78"/>
      <c r="BX329" s="78"/>
      <c r="BY329" s="78"/>
      <c r="BZ329" s="78"/>
      <c r="CA329" s="78"/>
      <c r="CB329" s="78"/>
      <c r="CC329" s="78"/>
      <c r="CD329" s="78"/>
      <c r="CE329" s="78"/>
      <c r="CF329" s="80"/>
    </row>
    <row r="330" spans="1:84" ht="15.75" x14ac:dyDescent="0.25">
      <c r="A330" s="149" t="s">
        <v>327</v>
      </c>
      <c r="B330" s="150" t="s">
        <v>490</v>
      </c>
      <c r="C330" s="173" t="s">
        <v>20</v>
      </c>
      <c r="D330" s="95" t="s">
        <v>470</v>
      </c>
      <c r="E330" s="150"/>
      <c r="F330" s="16" t="s">
        <v>13</v>
      </c>
      <c r="G330" s="16" t="s">
        <v>13</v>
      </c>
      <c r="H330" s="75" t="s">
        <v>353</v>
      </c>
      <c r="I330" s="136">
        <v>0</v>
      </c>
      <c r="J330" s="17" t="s">
        <v>79</v>
      </c>
      <c r="K330" s="142">
        <v>46371</v>
      </c>
      <c r="L330" s="142">
        <v>46402</v>
      </c>
      <c r="M330" s="76"/>
      <c r="N330" s="77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  <c r="AY330" s="78"/>
      <c r="AZ330" s="78"/>
      <c r="BA330" s="78"/>
      <c r="BB330" s="78"/>
      <c r="BC330" s="92"/>
      <c r="BD330" s="92"/>
      <c r="BE330" s="92"/>
      <c r="BF330" s="92"/>
      <c r="BG330" s="78"/>
      <c r="BH330" s="78"/>
      <c r="BI330" s="78"/>
      <c r="BJ330" s="78"/>
      <c r="BK330" s="78"/>
      <c r="BL330" s="78"/>
      <c r="BM330" s="78"/>
      <c r="BN330" s="78"/>
      <c r="BO330" s="78"/>
      <c r="BP330" s="78"/>
      <c r="BQ330" s="78"/>
      <c r="BR330" s="78"/>
      <c r="BS330" s="78"/>
      <c r="BT330" s="78"/>
      <c r="BU330" s="78"/>
      <c r="BV330" s="78"/>
      <c r="BW330" s="78"/>
      <c r="BX330" s="78"/>
      <c r="BY330" s="78"/>
      <c r="BZ330" s="78"/>
      <c r="CA330" s="78"/>
      <c r="CB330" s="78"/>
      <c r="CC330" s="78"/>
      <c r="CD330" s="78"/>
      <c r="CE330" s="78"/>
      <c r="CF330" s="80"/>
    </row>
    <row r="331" spans="1:84" ht="15.75" x14ac:dyDescent="0.25">
      <c r="A331" s="149" t="s">
        <v>327</v>
      </c>
      <c r="B331" s="150" t="s">
        <v>491</v>
      </c>
      <c r="C331" s="173" t="s">
        <v>20</v>
      </c>
      <c r="D331" s="95" t="s">
        <v>472</v>
      </c>
      <c r="E331" s="150"/>
      <c r="F331" s="16" t="s">
        <v>13</v>
      </c>
      <c r="G331" s="16" t="s">
        <v>13</v>
      </c>
      <c r="H331" s="75" t="s">
        <v>353</v>
      </c>
      <c r="I331" s="136">
        <v>0</v>
      </c>
      <c r="J331" s="17" t="s">
        <v>79</v>
      </c>
      <c r="K331" s="142">
        <v>46371</v>
      </c>
      <c r="L331" s="142">
        <v>46402</v>
      </c>
      <c r="M331" s="76"/>
      <c r="N331" s="77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78"/>
      <c r="AZ331" s="78"/>
      <c r="BA331" s="78"/>
      <c r="BB331" s="78"/>
      <c r="BC331" s="92"/>
      <c r="BD331" s="92"/>
      <c r="BE331" s="92"/>
      <c r="BF331" s="92"/>
      <c r="BG331" s="78"/>
      <c r="BH331" s="78"/>
      <c r="BI331" s="78"/>
      <c r="BJ331" s="78"/>
      <c r="BK331" s="78"/>
      <c r="BL331" s="78"/>
      <c r="BM331" s="78"/>
      <c r="BN331" s="78"/>
      <c r="BO331" s="78"/>
      <c r="BP331" s="78"/>
      <c r="BQ331" s="78"/>
      <c r="BR331" s="78"/>
      <c r="BS331" s="78"/>
      <c r="BT331" s="78"/>
      <c r="BU331" s="78"/>
      <c r="BV331" s="78"/>
      <c r="BW331" s="78"/>
      <c r="BX331" s="78"/>
      <c r="BY331" s="78"/>
      <c r="BZ331" s="78"/>
      <c r="CA331" s="78"/>
      <c r="CB331" s="78"/>
      <c r="CC331" s="78"/>
      <c r="CD331" s="78"/>
      <c r="CE331" s="78"/>
      <c r="CF331" s="80"/>
    </row>
    <row r="332" spans="1:84" ht="15.75" x14ac:dyDescent="0.25">
      <c r="A332" s="149" t="s">
        <v>327</v>
      </c>
      <c r="B332" s="150" t="s">
        <v>492</v>
      </c>
      <c r="C332" s="173" t="s">
        <v>20</v>
      </c>
      <c r="D332" s="95" t="s">
        <v>474</v>
      </c>
      <c r="E332" s="150"/>
      <c r="F332" s="16" t="s">
        <v>13</v>
      </c>
      <c r="G332" s="16" t="s">
        <v>13</v>
      </c>
      <c r="H332" s="75" t="s">
        <v>353</v>
      </c>
      <c r="I332" s="136">
        <v>0</v>
      </c>
      <c r="J332" s="17" t="s">
        <v>79</v>
      </c>
      <c r="K332" s="142">
        <v>46371</v>
      </c>
      <c r="L332" s="142">
        <v>46402</v>
      </c>
      <c r="M332" s="76"/>
      <c r="N332" s="77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78"/>
      <c r="AZ332" s="78"/>
      <c r="BA332" s="78"/>
      <c r="BB332" s="78"/>
      <c r="BC332" s="92"/>
      <c r="BD332" s="92"/>
      <c r="BE332" s="92"/>
      <c r="BF332" s="92"/>
      <c r="BG332" s="78"/>
      <c r="BH332" s="78"/>
      <c r="BI332" s="78"/>
      <c r="BJ332" s="78"/>
      <c r="BK332" s="78"/>
      <c r="BL332" s="78"/>
      <c r="BM332" s="78"/>
      <c r="BN332" s="78"/>
      <c r="BO332" s="78"/>
      <c r="BP332" s="78"/>
      <c r="BQ332" s="78"/>
      <c r="BR332" s="78"/>
      <c r="BS332" s="78"/>
      <c r="BT332" s="78"/>
      <c r="BU332" s="78"/>
      <c r="BV332" s="78"/>
      <c r="BW332" s="78"/>
      <c r="BX332" s="78"/>
      <c r="BY332" s="78"/>
      <c r="BZ332" s="78"/>
      <c r="CA332" s="78"/>
      <c r="CB332" s="78"/>
      <c r="CC332" s="78"/>
      <c r="CD332" s="78"/>
      <c r="CE332" s="78"/>
      <c r="CF332" s="80"/>
    </row>
    <row r="333" spans="1:84" ht="15.75" x14ac:dyDescent="0.25">
      <c r="A333" s="149" t="s">
        <v>327</v>
      </c>
      <c r="B333" s="150" t="s">
        <v>493</v>
      </c>
      <c r="C333" s="173" t="s">
        <v>20</v>
      </c>
      <c r="D333" s="74" t="s">
        <v>362</v>
      </c>
      <c r="E333" s="150"/>
      <c r="F333" s="16" t="s">
        <v>13</v>
      </c>
      <c r="G333" s="16" t="s">
        <v>13</v>
      </c>
      <c r="H333" s="75" t="s">
        <v>353</v>
      </c>
      <c r="I333" s="136">
        <v>0</v>
      </c>
      <c r="J333" s="17" t="s">
        <v>79</v>
      </c>
      <c r="K333" s="142">
        <v>46388</v>
      </c>
      <c r="L333" s="142">
        <v>46402</v>
      </c>
      <c r="M333" s="76"/>
      <c r="N333" s="77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  <c r="AY333" s="78"/>
      <c r="AZ333" s="78"/>
      <c r="BA333" s="78"/>
      <c r="BB333" s="78"/>
      <c r="BC333" s="78"/>
      <c r="BD333" s="78"/>
      <c r="BE333" s="79"/>
      <c r="BF333" s="79"/>
      <c r="BG333" s="78"/>
      <c r="BH333" s="78"/>
      <c r="BI333" s="78"/>
      <c r="BJ333" s="78"/>
      <c r="BK333" s="78"/>
      <c r="BL333" s="78"/>
      <c r="BM333" s="78"/>
      <c r="BN333" s="78"/>
      <c r="BO333" s="78"/>
      <c r="BP333" s="78"/>
      <c r="BQ333" s="78"/>
      <c r="BR333" s="78"/>
      <c r="BS333" s="78"/>
      <c r="BT333" s="78"/>
      <c r="BU333" s="78"/>
      <c r="BV333" s="78"/>
      <c r="BW333" s="78"/>
      <c r="BX333" s="78"/>
      <c r="BY333" s="78"/>
      <c r="BZ333" s="78"/>
      <c r="CA333" s="78"/>
      <c r="CB333" s="78"/>
      <c r="CC333" s="78"/>
      <c r="CD333" s="78"/>
      <c r="CE333" s="78"/>
      <c r="CF333" s="80"/>
    </row>
    <row r="334" spans="1:84" ht="15.75" x14ac:dyDescent="0.25">
      <c r="A334" s="149" t="s">
        <v>327</v>
      </c>
      <c r="B334" s="150" t="s">
        <v>494</v>
      </c>
      <c r="C334" s="73"/>
      <c r="D334" s="69" t="s">
        <v>364</v>
      </c>
      <c r="E334" s="150"/>
      <c r="F334" s="16" t="s">
        <v>13</v>
      </c>
      <c r="G334" s="16" t="s">
        <v>13</v>
      </c>
      <c r="H334" s="105" t="s">
        <v>353</v>
      </c>
      <c r="I334" s="171">
        <f>AVERAGE(I335,I343,I352)</f>
        <v>0</v>
      </c>
      <c r="J334" s="17" t="s">
        <v>79</v>
      </c>
      <c r="K334" s="142">
        <v>46402</v>
      </c>
      <c r="L334" s="142">
        <v>46433</v>
      </c>
      <c r="M334" s="76"/>
      <c r="N334" s="77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78"/>
      <c r="AZ334" s="78"/>
      <c r="BA334" s="78"/>
      <c r="BB334" s="78"/>
      <c r="BC334" s="78"/>
      <c r="BD334" s="78"/>
      <c r="BE334" s="78"/>
      <c r="BF334" s="78"/>
      <c r="BG334" s="93"/>
      <c r="BH334" s="93"/>
      <c r="BI334" s="93"/>
      <c r="BJ334" s="93"/>
      <c r="BK334" s="78"/>
      <c r="BL334" s="78"/>
      <c r="BM334" s="78"/>
      <c r="BN334" s="78"/>
      <c r="BO334" s="78"/>
      <c r="BP334" s="78"/>
      <c r="BQ334" s="78"/>
      <c r="BR334" s="78"/>
      <c r="BS334" s="78"/>
      <c r="BT334" s="78"/>
      <c r="BU334" s="78"/>
      <c r="BV334" s="78"/>
      <c r="BW334" s="78"/>
      <c r="BX334" s="78"/>
      <c r="BY334" s="78"/>
      <c r="BZ334" s="78"/>
      <c r="CA334" s="78"/>
      <c r="CB334" s="78"/>
      <c r="CC334" s="78"/>
      <c r="CD334" s="78"/>
      <c r="CE334" s="78"/>
      <c r="CF334" s="80"/>
    </row>
    <row r="335" spans="1:84" ht="15.75" x14ac:dyDescent="0.25">
      <c r="A335" s="149" t="s">
        <v>327</v>
      </c>
      <c r="B335" s="150" t="s">
        <v>495</v>
      </c>
      <c r="C335" s="84"/>
      <c r="D335" s="94" t="s">
        <v>442</v>
      </c>
      <c r="E335" s="150"/>
      <c r="F335" s="16" t="s">
        <v>13</v>
      </c>
      <c r="G335" s="16" t="s">
        <v>13</v>
      </c>
      <c r="H335" s="75" t="s">
        <v>353</v>
      </c>
      <c r="I335" s="172">
        <f>AVERAGE(I336:I342)</f>
        <v>0</v>
      </c>
      <c r="J335" s="17" t="s">
        <v>79</v>
      </c>
      <c r="K335" s="142">
        <v>46402</v>
      </c>
      <c r="L335" s="142">
        <v>46433</v>
      </c>
      <c r="M335" s="76"/>
      <c r="N335" s="77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  <c r="AY335" s="78"/>
      <c r="AZ335" s="78"/>
      <c r="BA335" s="78"/>
      <c r="BB335" s="78"/>
      <c r="BC335" s="78"/>
      <c r="BD335" s="78"/>
      <c r="BE335" s="78"/>
      <c r="BF335" s="78"/>
      <c r="BG335" s="92"/>
      <c r="BH335" s="92"/>
      <c r="BI335" s="92"/>
      <c r="BJ335" s="92"/>
      <c r="BK335" s="78"/>
      <c r="BL335" s="78"/>
      <c r="BM335" s="78"/>
      <c r="BN335" s="78"/>
      <c r="BO335" s="78"/>
      <c r="BP335" s="78"/>
      <c r="BQ335" s="78"/>
      <c r="BR335" s="78"/>
      <c r="BS335" s="78"/>
      <c r="BT335" s="78"/>
      <c r="BU335" s="78"/>
      <c r="BV335" s="78"/>
      <c r="BW335" s="78"/>
      <c r="BX335" s="78"/>
      <c r="BY335" s="78"/>
      <c r="BZ335" s="78"/>
      <c r="CA335" s="78"/>
      <c r="CB335" s="78"/>
      <c r="CC335" s="78"/>
      <c r="CD335" s="78"/>
      <c r="CE335" s="78"/>
      <c r="CF335" s="80"/>
    </row>
    <row r="336" spans="1:84" ht="15.75" x14ac:dyDescent="0.25">
      <c r="A336" s="149" t="s">
        <v>327</v>
      </c>
      <c r="B336" s="150" t="s">
        <v>496</v>
      </c>
      <c r="C336" s="96"/>
      <c r="D336" s="95" t="s">
        <v>444</v>
      </c>
      <c r="E336" s="150"/>
      <c r="F336" s="16" t="s">
        <v>13</v>
      </c>
      <c r="G336" s="16" t="s">
        <v>13</v>
      </c>
      <c r="H336" s="75" t="s">
        <v>353</v>
      </c>
      <c r="I336" s="136">
        <v>0</v>
      </c>
      <c r="J336" s="17" t="s">
        <v>79</v>
      </c>
      <c r="K336" s="142">
        <v>46402</v>
      </c>
      <c r="L336" s="142">
        <v>46433</v>
      </c>
      <c r="M336" s="76"/>
      <c r="N336" s="77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78"/>
      <c r="AZ336" s="78"/>
      <c r="BA336" s="78"/>
      <c r="BB336" s="78"/>
      <c r="BC336" s="78"/>
      <c r="BD336" s="78"/>
      <c r="BE336" s="78"/>
      <c r="BF336" s="78"/>
      <c r="BG336" s="92"/>
      <c r="BH336" s="92"/>
      <c r="BI336" s="92"/>
      <c r="BJ336" s="92"/>
      <c r="BK336" s="78"/>
      <c r="BL336" s="78"/>
      <c r="BM336" s="78"/>
      <c r="BN336" s="78"/>
      <c r="BO336" s="78"/>
      <c r="BP336" s="78"/>
      <c r="BQ336" s="78"/>
      <c r="BR336" s="78"/>
      <c r="BS336" s="78"/>
      <c r="BT336" s="78"/>
      <c r="BU336" s="78"/>
      <c r="BV336" s="78"/>
      <c r="BW336" s="78"/>
      <c r="BX336" s="78"/>
      <c r="BY336" s="78"/>
      <c r="BZ336" s="78"/>
      <c r="CA336" s="78"/>
      <c r="CB336" s="78"/>
      <c r="CC336" s="78"/>
      <c r="CD336" s="78"/>
      <c r="CE336" s="78"/>
      <c r="CF336" s="80"/>
    </row>
    <row r="337" spans="1:84" ht="15.75" x14ac:dyDescent="0.25">
      <c r="A337" s="149" t="s">
        <v>327</v>
      </c>
      <c r="B337" s="150" t="s">
        <v>497</v>
      </c>
      <c r="C337" s="96"/>
      <c r="D337" s="95" t="s">
        <v>446</v>
      </c>
      <c r="E337" s="150"/>
      <c r="F337" s="16" t="s">
        <v>13</v>
      </c>
      <c r="G337" s="16" t="s">
        <v>13</v>
      </c>
      <c r="H337" s="75" t="s">
        <v>353</v>
      </c>
      <c r="I337" s="136">
        <v>0</v>
      </c>
      <c r="J337" s="17" t="s">
        <v>79</v>
      </c>
      <c r="K337" s="142">
        <v>46402</v>
      </c>
      <c r="L337" s="142">
        <v>46418</v>
      </c>
      <c r="M337" s="76"/>
      <c r="N337" s="77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  <c r="AY337" s="78"/>
      <c r="AZ337" s="78"/>
      <c r="BA337" s="78"/>
      <c r="BB337" s="78"/>
      <c r="BC337" s="78"/>
      <c r="BD337" s="78"/>
      <c r="BE337" s="78"/>
      <c r="BF337" s="78"/>
      <c r="BG337" s="92"/>
      <c r="BH337" s="92"/>
      <c r="BI337" s="78"/>
      <c r="BJ337" s="78"/>
      <c r="BK337" s="78"/>
      <c r="BL337" s="78"/>
      <c r="BM337" s="78"/>
      <c r="BN337" s="78"/>
      <c r="BO337" s="78"/>
      <c r="BP337" s="78"/>
      <c r="BQ337" s="78"/>
      <c r="BR337" s="78"/>
      <c r="BS337" s="78"/>
      <c r="BT337" s="78"/>
      <c r="BU337" s="78"/>
      <c r="BV337" s="78"/>
      <c r="BW337" s="78"/>
      <c r="BX337" s="78"/>
      <c r="BY337" s="78"/>
      <c r="BZ337" s="78"/>
      <c r="CA337" s="78"/>
      <c r="CB337" s="78"/>
      <c r="CC337" s="78"/>
      <c r="CD337" s="78"/>
      <c r="CE337" s="78"/>
      <c r="CF337" s="80"/>
    </row>
    <row r="338" spans="1:84" ht="15.75" x14ac:dyDescent="0.25">
      <c r="A338" s="149" t="s">
        <v>327</v>
      </c>
      <c r="B338" s="150" t="s">
        <v>498</v>
      </c>
      <c r="C338" s="96"/>
      <c r="D338" s="95" t="s">
        <v>448</v>
      </c>
      <c r="E338" s="150"/>
      <c r="F338" s="16" t="s">
        <v>13</v>
      </c>
      <c r="G338" s="16" t="s">
        <v>13</v>
      </c>
      <c r="H338" s="75" t="s">
        <v>353</v>
      </c>
      <c r="I338" s="136">
        <v>0</v>
      </c>
      <c r="J338" s="17" t="s">
        <v>79</v>
      </c>
      <c r="K338" s="142">
        <v>46402</v>
      </c>
      <c r="L338" s="142">
        <v>46418</v>
      </c>
      <c r="M338" s="76"/>
      <c r="N338" s="77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78"/>
      <c r="AZ338" s="78"/>
      <c r="BA338" s="78"/>
      <c r="BB338" s="78"/>
      <c r="BC338" s="78"/>
      <c r="BD338" s="78"/>
      <c r="BE338" s="78"/>
      <c r="BF338" s="78"/>
      <c r="BG338" s="92"/>
      <c r="BH338" s="92"/>
      <c r="BI338" s="78"/>
      <c r="BJ338" s="78"/>
      <c r="BK338" s="78"/>
      <c r="BL338" s="78"/>
      <c r="BM338" s="78"/>
      <c r="BN338" s="78"/>
      <c r="BO338" s="78"/>
      <c r="BP338" s="78"/>
      <c r="BQ338" s="78"/>
      <c r="BR338" s="78"/>
      <c r="BS338" s="78"/>
      <c r="BT338" s="78"/>
      <c r="BU338" s="78"/>
      <c r="BV338" s="78"/>
      <c r="BW338" s="78"/>
      <c r="BX338" s="78"/>
      <c r="BY338" s="78"/>
      <c r="BZ338" s="78"/>
      <c r="CA338" s="78"/>
      <c r="CB338" s="78"/>
      <c r="CC338" s="78"/>
      <c r="CD338" s="78"/>
      <c r="CE338" s="78"/>
      <c r="CF338" s="80"/>
    </row>
    <row r="339" spans="1:84" ht="15.75" x14ac:dyDescent="0.25">
      <c r="A339" s="149" t="s">
        <v>327</v>
      </c>
      <c r="B339" s="150" t="s">
        <v>499</v>
      </c>
      <c r="C339" s="96"/>
      <c r="D339" s="95" t="s">
        <v>450</v>
      </c>
      <c r="E339" s="150"/>
      <c r="F339" s="16" t="s">
        <v>13</v>
      </c>
      <c r="G339" s="16" t="s">
        <v>13</v>
      </c>
      <c r="H339" s="75" t="s">
        <v>353</v>
      </c>
      <c r="I339" s="136">
        <v>0</v>
      </c>
      <c r="J339" s="17" t="s">
        <v>79</v>
      </c>
      <c r="K339" s="142">
        <v>46402</v>
      </c>
      <c r="L339" s="142">
        <v>46418</v>
      </c>
      <c r="M339" s="76"/>
      <c r="N339" s="77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78"/>
      <c r="AZ339" s="78"/>
      <c r="BA339" s="78"/>
      <c r="BB339" s="78"/>
      <c r="BC339" s="78"/>
      <c r="BD339" s="78"/>
      <c r="BE339" s="78"/>
      <c r="BF339" s="78"/>
      <c r="BG339" s="92"/>
      <c r="BH339" s="78"/>
      <c r="BI339" s="78"/>
      <c r="BJ339" s="78"/>
      <c r="BK339" s="78"/>
      <c r="BL339" s="78"/>
      <c r="BM339" s="78"/>
      <c r="BN339" s="78"/>
      <c r="BO339" s="78"/>
      <c r="BP339" s="78"/>
      <c r="BQ339" s="78"/>
      <c r="BR339" s="78"/>
      <c r="BS339" s="78"/>
      <c r="BT339" s="78"/>
      <c r="BU339" s="78"/>
      <c r="BV339" s="78"/>
      <c r="BW339" s="78"/>
      <c r="BX339" s="78"/>
      <c r="BY339" s="78"/>
      <c r="BZ339" s="78"/>
      <c r="CA339" s="78"/>
      <c r="CB339" s="78"/>
      <c r="CC339" s="78"/>
      <c r="CD339" s="78"/>
      <c r="CE339" s="78"/>
      <c r="CF339" s="80"/>
    </row>
    <row r="340" spans="1:84" ht="15.75" x14ac:dyDescent="0.25">
      <c r="A340" s="149" t="s">
        <v>327</v>
      </c>
      <c r="B340" s="150" t="s">
        <v>500</v>
      </c>
      <c r="C340" s="96"/>
      <c r="D340" s="95" t="s">
        <v>452</v>
      </c>
      <c r="E340" s="150"/>
      <c r="F340" s="16" t="s">
        <v>13</v>
      </c>
      <c r="G340" s="16" t="s">
        <v>13</v>
      </c>
      <c r="H340" s="75" t="s">
        <v>353</v>
      </c>
      <c r="I340" s="136">
        <v>0</v>
      </c>
      <c r="J340" s="17" t="s">
        <v>79</v>
      </c>
      <c r="K340" s="142">
        <v>46402</v>
      </c>
      <c r="L340" s="142">
        <v>46433</v>
      </c>
      <c r="M340" s="76"/>
      <c r="N340" s="77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78"/>
      <c r="AZ340" s="78"/>
      <c r="BA340" s="78"/>
      <c r="BB340" s="78"/>
      <c r="BC340" s="78"/>
      <c r="BD340" s="78"/>
      <c r="BE340" s="78"/>
      <c r="BF340" s="78"/>
      <c r="BG340" s="92"/>
      <c r="BH340" s="92"/>
      <c r="BI340" s="92"/>
      <c r="BJ340" s="92"/>
      <c r="BK340" s="78"/>
      <c r="BL340" s="78"/>
      <c r="BM340" s="78"/>
      <c r="BN340" s="78"/>
      <c r="BO340" s="78"/>
      <c r="BP340" s="78"/>
      <c r="BQ340" s="78"/>
      <c r="BR340" s="78"/>
      <c r="BS340" s="78"/>
      <c r="BT340" s="78"/>
      <c r="BU340" s="78"/>
      <c r="BV340" s="78"/>
      <c r="BW340" s="78"/>
      <c r="BX340" s="78"/>
      <c r="BY340" s="78"/>
      <c r="BZ340" s="78"/>
      <c r="CA340" s="78"/>
      <c r="CB340" s="78"/>
      <c r="CC340" s="78"/>
      <c r="CD340" s="78"/>
      <c r="CE340" s="78"/>
      <c r="CF340" s="80"/>
    </row>
    <row r="341" spans="1:84" ht="15.75" x14ac:dyDescent="0.25">
      <c r="A341" s="149" t="s">
        <v>327</v>
      </c>
      <c r="B341" s="150" t="s">
        <v>501</v>
      </c>
      <c r="C341" s="96"/>
      <c r="D341" s="95" t="s">
        <v>454</v>
      </c>
      <c r="E341" s="150"/>
      <c r="F341" s="16" t="s">
        <v>13</v>
      </c>
      <c r="G341" s="16" t="s">
        <v>13</v>
      </c>
      <c r="H341" s="75" t="s">
        <v>353</v>
      </c>
      <c r="I341" s="136">
        <v>0</v>
      </c>
      <c r="J341" s="17" t="s">
        <v>79</v>
      </c>
      <c r="K341" s="142">
        <v>46402</v>
      </c>
      <c r="L341" s="142">
        <v>46433</v>
      </c>
      <c r="M341" s="76"/>
      <c r="N341" s="77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  <c r="AY341" s="78"/>
      <c r="AZ341" s="78"/>
      <c r="BA341" s="78"/>
      <c r="BB341" s="78"/>
      <c r="BC341" s="78"/>
      <c r="BD341" s="78"/>
      <c r="BE341" s="78"/>
      <c r="BF341" s="78"/>
      <c r="BG341" s="92"/>
      <c r="BH341" s="92"/>
      <c r="BI341" s="92"/>
      <c r="BJ341" s="92"/>
      <c r="BK341" s="78"/>
      <c r="BL341" s="78"/>
      <c r="BM341" s="78"/>
      <c r="BN341" s="78"/>
      <c r="BO341" s="78"/>
      <c r="BP341" s="78"/>
      <c r="BQ341" s="78"/>
      <c r="BR341" s="78"/>
      <c r="BS341" s="78"/>
      <c r="BT341" s="78"/>
      <c r="BU341" s="78"/>
      <c r="BV341" s="78"/>
      <c r="BW341" s="78"/>
      <c r="BX341" s="78"/>
      <c r="BY341" s="78"/>
      <c r="BZ341" s="78"/>
      <c r="CA341" s="78"/>
      <c r="CB341" s="78"/>
      <c r="CC341" s="78"/>
      <c r="CD341" s="78"/>
      <c r="CE341" s="78"/>
      <c r="CF341" s="80"/>
    </row>
    <row r="342" spans="1:84" ht="15.75" x14ac:dyDescent="0.25">
      <c r="A342" s="149" t="s">
        <v>327</v>
      </c>
      <c r="B342" s="150" t="s">
        <v>502</v>
      </c>
      <c r="C342" s="96"/>
      <c r="D342" s="95" t="s">
        <v>456</v>
      </c>
      <c r="E342" s="150"/>
      <c r="F342" s="16" t="s">
        <v>13</v>
      </c>
      <c r="G342" s="16" t="s">
        <v>13</v>
      </c>
      <c r="H342" s="75" t="s">
        <v>353</v>
      </c>
      <c r="I342" s="136">
        <v>0</v>
      </c>
      <c r="J342" s="17" t="s">
        <v>79</v>
      </c>
      <c r="K342" s="142">
        <v>46402</v>
      </c>
      <c r="L342" s="142">
        <v>46433</v>
      </c>
      <c r="M342" s="76"/>
      <c r="N342" s="77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  <c r="AY342" s="78"/>
      <c r="AZ342" s="78"/>
      <c r="BA342" s="78"/>
      <c r="BB342" s="78"/>
      <c r="BC342" s="78"/>
      <c r="BD342" s="78"/>
      <c r="BE342" s="78"/>
      <c r="BF342" s="78"/>
      <c r="BG342" s="92"/>
      <c r="BH342" s="92"/>
      <c r="BI342" s="92"/>
      <c r="BJ342" s="92"/>
      <c r="BK342" s="78"/>
      <c r="BL342" s="78"/>
      <c r="BM342" s="78"/>
      <c r="BN342" s="78"/>
      <c r="BO342" s="78"/>
      <c r="BP342" s="78"/>
      <c r="BQ342" s="78"/>
      <c r="BR342" s="78"/>
      <c r="BS342" s="78"/>
      <c r="BT342" s="78"/>
      <c r="BU342" s="78"/>
      <c r="BV342" s="78"/>
      <c r="BW342" s="78"/>
      <c r="BX342" s="78"/>
      <c r="BY342" s="78"/>
      <c r="BZ342" s="78"/>
      <c r="CA342" s="78"/>
      <c r="CB342" s="78"/>
      <c r="CC342" s="78"/>
      <c r="CD342" s="78"/>
      <c r="CE342" s="78"/>
      <c r="CF342" s="80"/>
    </row>
    <row r="343" spans="1:84" ht="15.75" x14ac:dyDescent="0.25">
      <c r="A343" s="149" t="s">
        <v>327</v>
      </c>
      <c r="B343" s="150" t="s">
        <v>503</v>
      </c>
      <c r="C343" s="84"/>
      <c r="D343" s="94" t="s">
        <v>458</v>
      </c>
      <c r="E343" s="150"/>
      <c r="F343" s="16" t="s">
        <v>13</v>
      </c>
      <c r="G343" s="16" t="s">
        <v>13</v>
      </c>
      <c r="H343" s="75" t="s">
        <v>353</v>
      </c>
      <c r="I343" s="172">
        <f>AVERAGE(I344:I351)</f>
        <v>0</v>
      </c>
      <c r="J343" s="17" t="s">
        <v>79</v>
      </c>
      <c r="K343" s="142">
        <v>46402</v>
      </c>
      <c r="L343" s="142">
        <v>46433</v>
      </c>
      <c r="M343" s="76"/>
      <c r="N343" s="77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78"/>
      <c r="AZ343" s="78"/>
      <c r="BA343" s="78"/>
      <c r="BB343" s="78"/>
      <c r="BC343" s="78"/>
      <c r="BD343" s="78"/>
      <c r="BE343" s="78"/>
      <c r="BF343" s="78"/>
      <c r="BG343" s="92"/>
      <c r="BH343" s="92"/>
      <c r="BI343" s="92"/>
      <c r="BJ343" s="92"/>
      <c r="BK343" s="78"/>
      <c r="BL343" s="78"/>
      <c r="BM343" s="78"/>
      <c r="BN343" s="78"/>
      <c r="BO343" s="78"/>
      <c r="BP343" s="78"/>
      <c r="BQ343" s="78"/>
      <c r="BR343" s="78"/>
      <c r="BS343" s="78"/>
      <c r="BT343" s="78"/>
      <c r="BU343" s="78"/>
      <c r="BV343" s="78"/>
      <c r="BW343" s="78"/>
      <c r="BX343" s="78"/>
      <c r="BY343" s="78"/>
      <c r="BZ343" s="78"/>
      <c r="CA343" s="78"/>
      <c r="CB343" s="78"/>
      <c r="CC343" s="78"/>
      <c r="CD343" s="78"/>
      <c r="CE343" s="78"/>
      <c r="CF343" s="80"/>
    </row>
    <row r="344" spans="1:84" ht="15.75" x14ac:dyDescent="0.25">
      <c r="A344" s="149" t="s">
        <v>327</v>
      </c>
      <c r="B344" s="150" t="s">
        <v>504</v>
      </c>
      <c r="C344" s="96"/>
      <c r="D344" s="95" t="s">
        <v>460</v>
      </c>
      <c r="E344" s="150"/>
      <c r="F344" s="16" t="s">
        <v>13</v>
      </c>
      <c r="G344" s="16" t="s">
        <v>13</v>
      </c>
      <c r="H344" s="75" t="s">
        <v>353</v>
      </c>
      <c r="I344" s="136">
        <v>0</v>
      </c>
      <c r="J344" s="17" t="s">
        <v>79</v>
      </c>
      <c r="K344" s="142">
        <v>46402</v>
      </c>
      <c r="L344" s="142">
        <v>46418</v>
      </c>
      <c r="M344" s="76"/>
      <c r="N344" s="77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  <c r="AY344" s="78"/>
      <c r="AZ344" s="78"/>
      <c r="BA344" s="78"/>
      <c r="BB344" s="78"/>
      <c r="BC344" s="78"/>
      <c r="BD344" s="78"/>
      <c r="BE344" s="78"/>
      <c r="BF344" s="78"/>
      <c r="BG344" s="92"/>
      <c r="BH344" s="78"/>
      <c r="BI344" s="78"/>
      <c r="BJ344" s="78"/>
      <c r="BK344" s="78"/>
      <c r="BL344" s="78"/>
      <c r="BM344" s="78"/>
      <c r="BN344" s="78"/>
      <c r="BO344" s="78"/>
      <c r="BP344" s="78"/>
      <c r="BQ344" s="78"/>
      <c r="BR344" s="78"/>
      <c r="BS344" s="78"/>
      <c r="BT344" s="78"/>
      <c r="BU344" s="78"/>
      <c r="BV344" s="78"/>
      <c r="BW344" s="78"/>
      <c r="BX344" s="78"/>
      <c r="BY344" s="78"/>
      <c r="BZ344" s="78"/>
      <c r="CA344" s="78"/>
      <c r="CB344" s="78"/>
      <c r="CC344" s="78"/>
      <c r="CD344" s="78"/>
      <c r="CE344" s="78"/>
      <c r="CF344" s="80"/>
    </row>
    <row r="345" spans="1:84" ht="15.75" x14ac:dyDescent="0.25">
      <c r="A345" s="149" t="s">
        <v>327</v>
      </c>
      <c r="B345" s="150" t="s">
        <v>505</v>
      </c>
      <c r="C345" s="96"/>
      <c r="D345" s="95" t="s">
        <v>462</v>
      </c>
      <c r="E345" s="150"/>
      <c r="F345" s="16" t="s">
        <v>13</v>
      </c>
      <c r="G345" s="16" t="s">
        <v>13</v>
      </c>
      <c r="H345" s="75" t="s">
        <v>353</v>
      </c>
      <c r="I345" s="136">
        <v>0</v>
      </c>
      <c r="J345" s="17" t="s">
        <v>79</v>
      </c>
      <c r="K345" s="142">
        <v>46402</v>
      </c>
      <c r="L345" s="142">
        <v>46418</v>
      </c>
      <c r="M345" s="76"/>
      <c r="N345" s="77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  <c r="AY345" s="78"/>
      <c r="AZ345" s="78"/>
      <c r="BA345" s="78"/>
      <c r="BB345" s="78"/>
      <c r="BC345" s="78"/>
      <c r="BD345" s="78"/>
      <c r="BE345" s="78"/>
      <c r="BF345" s="78"/>
      <c r="BG345" s="92"/>
      <c r="BH345" s="78"/>
      <c r="BI345" s="78"/>
      <c r="BJ345" s="78"/>
      <c r="BK345" s="78"/>
      <c r="BL345" s="78"/>
      <c r="BM345" s="78"/>
      <c r="BN345" s="78"/>
      <c r="BO345" s="78"/>
      <c r="BP345" s="78"/>
      <c r="BQ345" s="78"/>
      <c r="BR345" s="78"/>
      <c r="BS345" s="78"/>
      <c r="BT345" s="78"/>
      <c r="BU345" s="78"/>
      <c r="BV345" s="78"/>
      <c r="BW345" s="78"/>
      <c r="BX345" s="78"/>
      <c r="BY345" s="78"/>
      <c r="BZ345" s="78"/>
      <c r="CA345" s="78"/>
      <c r="CB345" s="78"/>
      <c r="CC345" s="78"/>
      <c r="CD345" s="78"/>
      <c r="CE345" s="78"/>
      <c r="CF345" s="80"/>
    </row>
    <row r="346" spans="1:84" ht="15.75" x14ac:dyDescent="0.25">
      <c r="A346" s="149" t="s">
        <v>327</v>
      </c>
      <c r="B346" s="150" t="s">
        <v>506</v>
      </c>
      <c r="C346" s="96"/>
      <c r="D346" s="95" t="s">
        <v>464</v>
      </c>
      <c r="E346" s="150"/>
      <c r="F346" s="16" t="s">
        <v>13</v>
      </c>
      <c r="G346" s="16" t="s">
        <v>13</v>
      </c>
      <c r="H346" s="75" t="s">
        <v>353</v>
      </c>
      <c r="I346" s="136">
        <v>0</v>
      </c>
      <c r="J346" s="17" t="s">
        <v>79</v>
      </c>
      <c r="K346" s="142">
        <v>46402</v>
      </c>
      <c r="L346" s="142">
        <v>46433</v>
      </c>
      <c r="M346" s="76"/>
      <c r="N346" s="77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78"/>
      <c r="AZ346" s="78"/>
      <c r="BA346" s="78"/>
      <c r="BB346" s="78"/>
      <c r="BC346" s="78"/>
      <c r="BD346" s="78"/>
      <c r="BE346" s="78"/>
      <c r="BF346" s="78"/>
      <c r="BG346" s="92"/>
      <c r="BH346" s="92"/>
      <c r="BI346" s="92"/>
      <c r="BJ346" s="78"/>
      <c r="BK346" s="78"/>
      <c r="BL346" s="78"/>
      <c r="BM346" s="78"/>
      <c r="BN346" s="78"/>
      <c r="BO346" s="78"/>
      <c r="BP346" s="78"/>
      <c r="BQ346" s="78"/>
      <c r="BR346" s="78"/>
      <c r="BS346" s="78"/>
      <c r="BT346" s="78"/>
      <c r="BU346" s="78"/>
      <c r="BV346" s="78"/>
      <c r="BW346" s="78"/>
      <c r="BX346" s="78"/>
      <c r="BY346" s="78"/>
      <c r="BZ346" s="78"/>
      <c r="CA346" s="78"/>
      <c r="CB346" s="78"/>
      <c r="CC346" s="78"/>
      <c r="CD346" s="78"/>
      <c r="CE346" s="78"/>
      <c r="CF346" s="80"/>
    </row>
    <row r="347" spans="1:84" ht="15.75" x14ac:dyDescent="0.25">
      <c r="A347" s="149" t="s">
        <v>327</v>
      </c>
      <c r="B347" s="150" t="s">
        <v>507</v>
      </c>
      <c r="C347" s="96"/>
      <c r="D347" s="95" t="s">
        <v>466</v>
      </c>
      <c r="E347" s="150"/>
      <c r="F347" s="16" t="s">
        <v>13</v>
      </c>
      <c r="G347" s="16" t="s">
        <v>13</v>
      </c>
      <c r="H347" s="75" t="s">
        <v>353</v>
      </c>
      <c r="I347" s="136">
        <v>0</v>
      </c>
      <c r="J347" s="17" t="s">
        <v>79</v>
      </c>
      <c r="K347" s="142">
        <v>46402</v>
      </c>
      <c r="L347" s="142">
        <v>46433</v>
      </c>
      <c r="M347" s="76"/>
      <c r="N347" s="77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  <c r="AY347" s="78"/>
      <c r="AZ347" s="78"/>
      <c r="BA347" s="78"/>
      <c r="BB347" s="78"/>
      <c r="BC347" s="78"/>
      <c r="BD347" s="78"/>
      <c r="BE347" s="78"/>
      <c r="BF347" s="78"/>
      <c r="BG347" s="92"/>
      <c r="BH347" s="92"/>
      <c r="BI347" s="92"/>
      <c r="BJ347" s="92"/>
      <c r="BK347" s="78"/>
      <c r="BL347" s="78"/>
      <c r="BM347" s="78"/>
      <c r="BN347" s="78"/>
      <c r="BO347" s="78"/>
      <c r="BP347" s="78"/>
      <c r="BQ347" s="78"/>
      <c r="BR347" s="78"/>
      <c r="BS347" s="78"/>
      <c r="BT347" s="78"/>
      <c r="BU347" s="78"/>
      <c r="BV347" s="78"/>
      <c r="BW347" s="78"/>
      <c r="BX347" s="78"/>
      <c r="BY347" s="78"/>
      <c r="BZ347" s="78"/>
      <c r="CA347" s="78"/>
      <c r="CB347" s="78"/>
      <c r="CC347" s="78"/>
      <c r="CD347" s="78"/>
      <c r="CE347" s="78"/>
      <c r="CF347" s="80"/>
    </row>
    <row r="348" spans="1:84" ht="15.75" x14ac:dyDescent="0.25">
      <c r="A348" s="149" t="s">
        <v>327</v>
      </c>
      <c r="B348" s="150" t="s">
        <v>508</v>
      </c>
      <c r="C348" s="96"/>
      <c r="D348" s="95" t="s">
        <v>468</v>
      </c>
      <c r="E348" s="150"/>
      <c r="F348" s="16" t="s">
        <v>13</v>
      </c>
      <c r="G348" s="16" t="s">
        <v>13</v>
      </c>
      <c r="H348" s="75" t="s">
        <v>353</v>
      </c>
      <c r="I348" s="136">
        <v>0</v>
      </c>
      <c r="J348" s="17" t="s">
        <v>79</v>
      </c>
      <c r="K348" s="142">
        <v>46402</v>
      </c>
      <c r="L348" s="142">
        <v>46433</v>
      </c>
      <c r="M348" s="76"/>
      <c r="N348" s="77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78"/>
      <c r="AZ348" s="78"/>
      <c r="BA348" s="78"/>
      <c r="BB348" s="78"/>
      <c r="BC348" s="78"/>
      <c r="BD348" s="78"/>
      <c r="BE348" s="78"/>
      <c r="BF348" s="78"/>
      <c r="BG348" s="92"/>
      <c r="BH348" s="92"/>
      <c r="BI348" s="92"/>
      <c r="BJ348" s="92"/>
      <c r="BK348" s="78"/>
      <c r="BL348" s="78"/>
      <c r="BM348" s="78"/>
      <c r="BN348" s="78"/>
      <c r="BO348" s="78"/>
      <c r="BP348" s="78"/>
      <c r="BQ348" s="78"/>
      <c r="BR348" s="78"/>
      <c r="BS348" s="78"/>
      <c r="BT348" s="78"/>
      <c r="BU348" s="78"/>
      <c r="BV348" s="78"/>
      <c r="BW348" s="78"/>
      <c r="BX348" s="78"/>
      <c r="BY348" s="78"/>
      <c r="BZ348" s="78"/>
      <c r="CA348" s="78"/>
      <c r="CB348" s="78"/>
      <c r="CC348" s="78"/>
      <c r="CD348" s="78"/>
      <c r="CE348" s="78"/>
      <c r="CF348" s="80"/>
    </row>
    <row r="349" spans="1:84" ht="15.75" x14ac:dyDescent="0.25">
      <c r="A349" s="149" t="s">
        <v>327</v>
      </c>
      <c r="B349" s="150" t="s">
        <v>509</v>
      </c>
      <c r="C349" s="96"/>
      <c r="D349" s="95" t="s">
        <v>470</v>
      </c>
      <c r="E349" s="150"/>
      <c r="F349" s="16" t="s">
        <v>13</v>
      </c>
      <c r="G349" s="16" t="s">
        <v>13</v>
      </c>
      <c r="H349" s="75" t="s">
        <v>353</v>
      </c>
      <c r="I349" s="136">
        <v>0</v>
      </c>
      <c r="J349" s="17" t="s">
        <v>79</v>
      </c>
      <c r="K349" s="142">
        <v>46402</v>
      </c>
      <c r="L349" s="142">
        <v>46433</v>
      </c>
      <c r="M349" s="76"/>
      <c r="N349" s="77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  <c r="AY349" s="78"/>
      <c r="AZ349" s="78"/>
      <c r="BA349" s="78"/>
      <c r="BB349" s="78"/>
      <c r="BC349" s="78"/>
      <c r="BD349" s="78"/>
      <c r="BE349" s="78"/>
      <c r="BF349" s="78"/>
      <c r="BG349" s="92"/>
      <c r="BH349" s="92"/>
      <c r="BI349" s="92"/>
      <c r="BJ349" s="92"/>
      <c r="BK349" s="78"/>
      <c r="BL349" s="78"/>
      <c r="BM349" s="78"/>
      <c r="BN349" s="78"/>
      <c r="BO349" s="78"/>
      <c r="BP349" s="78"/>
      <c r="BQ349" s="78"/>
      <c r="BR349" s="78"/>
      <c r="BS349" s="78"/>
      <c r="BT349" s="78"/>
      <c r="BU349" s="78"/>
      <c r="BV349" s="78"/>
      <c r="BW349" s="78"/>
      <c r="BX349" s="78"/>
      <c r="BY349" s="78"/>
      <c r="BZ349" s="78"/>
      <c r="CA349" s="78"/>
      <c r="CB349" s="78"/>
      <c r="CC349" s="78"/>
      <c r="CD349" s="78"/>
      <c r="CE349" s="78"/>
      <c r="CF349" s="80"/>
    </row>
    <row r="350" spans="1:84" ht="15.75" x14ac:dyDescent="0.25">
      <c r="A350" s="149" t="s">
        <v>327</v>
      </c>
      <c r="B350" s="150" t="s">
        <v>510</v>
      </c>
      <c r="C350" s="96"/>
      <c r="D350" s="95" t="s">
        <v>472</v>
      </c>
      <c r="E350" s="150"/>
      <c r="F350" s="16" t="s">
        <v>13</v>
      </c>
      <c r="G350" s="16" t="s">
        <v>13</v>
      </c>
      <c r="H350" s="75" t="s">
        <v>353</v>
      </c>
      <c r="I350" s="136">
        <v>0</v>
      </c>
      <c r="J350" s="17" t="s">
        <v>79</v>
      </c>
      <c r="K350" s="142">
        <v>46402</v>
      </c>
      <c r="L350" s="142">
        <v>46433</v>
      </c>
      <c r="M350" s="76"/>
      <c r="N350" s="77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  <c r="AY350" s="78"/>
      <c r="AZ350" s="78"/>
      <c r="BA350" s="78"/>
      <c r="BB350" s="78"/>
      <c r="BC350" s="78"/>
      <c r="BD350" s="78"/>
      <c r="BE350" s="78"/>
      <c r="BF350" s="78"/>
      <c r="BG350" s="92"/>
      <c r="BH350" s="92"/>
      <c r="BI350" s="92"/>
      <c r="BJ350" s="92"/>
      <c r="BK350" s="78"/>
      <c r="BL350" s="78"/>
      <c r="BM350" s="78"/>
      <c r="BN350" s="78"/>
      <c r="BO350" s="78"/>
      <c r="BP350" s="78"/>
      <c r="BQ350" s="78"/>
      <c r="BR350" s="78"/>
      <c r="BS350" s="78"/>
      <c r="BT350" s="78"/>
      <c r="BU350" s="78"/>
      <c r="BV350" s="78"/>
      <c r="BW350" s="78"/>
      <c r="BX350" s="78"/>
      <c r="BY350" s="78"/>
      <c r="BZ350" s="78"/>
      <c r="CA350" s="78"/>
      <c r="CB350" s="78"/>
      <c r="CC350" s="78"/>
      <c r="CD350" s="78"/>
      <c r="CE350" s="78"/>
      <c r="CF350" s="80"/>
    </row>
    <row r="351" spans="1:84" ht="15.75" x14ac:dyDescent="0.25">
      <c r="A351" s="149" t="s">
        <v>327</v>
      </c>
      <c r="B351" s="150" t="s">
        <v>511</v>
      </c>
      <c r="C351" s="96"/>
      <c r="D351" s="95" t="s">
        <v>474</v>
      </c>
      <c r="E351" s="150"/>
      <c r="F351" s="16" t="s">
        <v>13</v>
      </c>
      <c r="G351" s="16" t="s">
        <v>13</v>
      </c>
      <c r="H351" s="75" t="s">
        <v>353</v>
      </c>
      <c r="I351" s="136">
        <v>0</v>
      </c>
      <c r="J351" s="17" t="s">
        <v>79</v>
      </c>
      <c r="K351" s="142">
        <v>46402</v>
      </c>
      <c r="L351" s="142">
        <v>46433</v>
      </c>
      <c r="M351" s="76"/>
      <c r="N351" s="77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  <c r="AY351" s="78"/>
      <c r="AZ351" s="78"/>
      <c r="BA351" s="78"/>
      <c r="BB351" s="78"/>
      <c r="BC351" s="78"/>
      <c r="BD351" s="78"/>
      <c r="BE351" s="78"/>
      <c r="BF351" s="78"/>
      <c r="BG351" s="92"/>
      <c r="BH351" s="92"/>
      <c r="BI351" s="92"/>
      <c r="BJ351" s="92"/>
      <c r="BK351" s="78"/>
      <c r="BL351" s="78"/>
      <c r="BM351" s="78"/>
      <c r="BN351" s="78"/>
      <c r="BO351" s="78"/>
      <c r="BP351" s="78"/>
      <c r="BQ351" s="78"/>
      <c r="BR351" s="78"/>
      <c r="BS351" s="78"/>
      <c r="BT351" s="78"/>
      <c r="BU351" s="78"/>
      <c r="BV351" s="78"/>
      <c r="BW351" s="78"/>
      <c r="BX351" s="78"/>
      <c r="BY351" s="78"/>
      <c r="BZ351" s="78"/>
      <c r="CA351" s="78"/>
      <c r="CB351" s="78"/>
      <c r="CC351" s="78"/>
      <c r="CD351" s="78"/>
      <c r="CE351" s="78"/>
      <c r="CF351" s="80"/>
    </row>
    <row r="352" spans="1:84" ht="15.75" x14ac:dyDescent="0.25">
      <c r="A352" s="149" t="s">
        <v>327</v>
      </c>
      <c r="B352" s="150" t="s">
        <v>512</v>
      </c>
      <c r="C352" s="73"/>
      <c r="D352" s="74" t="s">
        <v>373</v>
      </c>
      <c r="E352" s="150"/>
      <c r="F352" s="16" t="s">
        <v>13</v>
      </c>
      <c r="G352" s="16" t="s">
        <v>13</v>
      </c>
      <c r="H352" s="75" t="s">
        <v>353</v>
      </c>
      <c r="I352" s="136">
        <v>0</v>
      </c>
      <c r="J352" s="17" t="s">
        <v>79</v>
      </c>
      <c r="K352" s="142">
        <v>46419</v>
      </c>
      <c r="L352" s="142">
        <v>46433</v>
      </c>
      <c r="M352" s="76"/>
      <c r="N352" s="77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  <c r="AY352" s="78"/>
      <c r="AZ352" s="78"/>
      <c r="BA352" s="78"/>
      <c r="BB352" s="78"/>
      <c r="BC352" s="78"/>
      <c r="BD352" s="78"/>
      <c r="BE352" s="78"/>
      <c r="BF352" s="78"/>
      <c r="BG352" s="78"/>
      <c r="BH352" s="78"/>
      <c r="BI352" s="79"/>
      <c r="BJ352" s="79"/>
      <c r="BK352" s="78"/>
      <c r="BL352" s="78"/>
      <c r="BM352" s="78"/>
      <c r="BN352" s="78"/>
      <c r="BO352" s="78"/>
      <c r="BP352" s="78"/>
      <c r="BQ352" s="78"/>
      <c r="BR352" s="78"/>
      <c r="BS352" s="78"/>
      <c r="BT352" s="78"/>
      <c r="BU352" s="78"/>
      <c r="BV352" s="78"/>
      <c r="BW352" s="78"/>
      <c r="BX352" s="78"/>
      <c r="BY352" s="78"/>
      <c r="BZ352" s="78"/>
      <c r="CA352" s="78"/>
      <c r="CB352" s="78"/>
      <c r="CC352" s="78"/>
      <c r="CD352" s="78"/>
      <c r="CE352" s="78"/>
      <c r="CF352" s="80"/>
    </row>
    <row r="353" spans="1:84" ht="15.75" x14ac:dyDescent="0.25">
      <c r="A353" s="149" t="s">
        <v>327</v>
      </c>
      <c r="B353" s="150" t="s">
        <v>513</v>
      </c>
      <c r="C353" s="73"/>
      <c r="D353" s="69" t="s">
        <v>375</v>
      </c>
      <c r="E353" s="150"/>
      <c r="F353" s="16" t="s">
        <v>13</v>
      </c>
      <c r="G353" s="16" t="s">
        <v>13</v>
      </c>
      <c r="H353" s="105" t="s">
        <v>353</v>
      </c>
      <c r="I353" s="171">
        <f>AVERAGE(I354,I362,I371,I372,I373)</f>
        <v>0</v>
      </c>
      <c r="J353" s="17" t="s">
        <v>79</v>
      </c>
      <c r="K353" s="142">
        <v>46433</v>
      </c>
      <c r="L353" s="142">
        <v>46461</v>
      </c>
      <c r="M353" s="76"/>
      <c r="N353" s="77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  <c r="AY353" s="78"/>
      <c r="AZ353" s="78"/>
      <c r="BA353" s="78"/>
      <c r="BB353" s="78"/>
      <c r="BC353" s="78"/>
      <c r="BD353" s="78"/>
      <c r="BE353" s="78"/>
      <c r="BF353" s="78"/>
      <c r="BG353" s="78"/>
      <c r="BH353" s="78"/>
      <c r="BI353" s="78"/>
      <c r="BJ353" s="78"/>
      <c r="BK353" s="93"/>
      <c r="BL353" s="93"/>
      <c r="BM353" s="93"/>
      <c r="BN353" s="93"/>
      <c r="BO353" s="78"/>
      <c r="BP353" s="78"/>
      <c r="BQ353" s="78"/>
      <c r="BR353" s="78"/>
      <c r="BS353" s="78"/>
      <c r="BT353" s="78"/>
      <c r="BU353" s="78"/>
      <c r="BV353" s="78"/>
      <c r="BW353" s="78"/>
      <c r="BX353" s="78"/>
      <c r="BY353" s="78"/>
      <c r="BZ353" s="78"/>
      <c r="CA353" s="78"/>
      <c r="CB353" s="78"/>
      <c r="CC353" s="78"/>
      <c r="CD353" s="78"/>
      <c r="CE353" s="78"/>
      <c r="CF353" s="80"/>
    </row>
    <row r="354" spans="1:84" ht="15.75" x14ac:dyDescent="0.25">
      <c r="A354" s="149" t="s">
        <v>327</v>
      </c>
      <c r="B354" s="150" t="s">
        <v>514</v>
      </c>
      <c r="C354" s="84"/>
      <c r="D354" s="94" t="s">
        <v>442</v>
      </c>
      <c r="E354" s="150"/>
      <c r="F354" s="16" t="s">
        <v>13</v>
      </c>
      <c r="G354" s="16" t="s">
        <v>13</v>
      </c>
      <c r="H354" s="75" t="s">
        <v>353</v>
      </c>
      <c r="I354" s="172">
        <f>AVERAGE(I355:I361)</f>
        <v>0</v>
      </c>
      <c r="J354" s="17" t="s">
        <v>79</v>
      </c>
      <c r="K354" s="142">
        <v>46433</v>
      </c>
      <c r="L354" s="142">
        <v>46461</v>
      </c>
      <c r="M354" s="76"/>
      <c r="N354" s="77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  <c r="AY354" s="78"/>
      <c r="AZ354" s="78"/>
      <c r="BA354" s="78"/>
      <c r="BB354" s="78"/>
      <c r="BC354" s="78"/>
      <c r="BD354" s="78"/>
      <c r="BE354" s="78"/>
      <c r="BF354" s="78"/>
      <c r="BG354" s="78"/>
      <c r="BH354" s="78"/>
      <c r="BI354" s="78"/>
      <c r="BJ354" s="78"/>
      <c r="BK354" s="92"/>
      <c r="BL354" s="92"/>
      <c r="BM354" s="92"/>
      <c r="BN354" s="92"/>
      <c r="BO354" s="78"/>
      <c r="BP354" s="78"/>
      <c r="BQ354" s="78"/>
      <c r="BR354" s="78"/>
      <c r="BS354" s="78"/>
      <c r="BT354" s="78"/>
      <c r="BU354" s="78"/>
      <c r="BV354" s="78"/>
      <c r="BW354" s="78"/>
      <c r="BX354" s="78"/>
      <c r="BY354" s="78"/>
      <c r="BZ354" s="78"/>
      <c r="CA354" s="78"/>
      <c r="CB354" s="78"/>
      <c r="CC354" s="78"/>
      <c r="CD354" s="78"/>
      <c r="CE354" s="78"/>
      <c r="CF354" s="80"/>
    </row>
    <row r="355" spans="1:84" ht="15.75" x14ac:dyDescent="0.25">
      <c r="A355" s="149" t="s">
        <v>327</v>
      </c>
      <c r="B355" s="150" t="s">
        <v>515</v>
      </c>
      <c r="C355" s="96"/>
      <c r="D355" s="95" t="s">
        <v>444</v>
      </c>
      <c r="E355" s="150"/>
      <c r="F355" s="16" t="s">
        <v>13</v>
      </c>
      <c r="G355" s="16" t="s">
        <v>13</v>
      </c>
      <c r="H355" s="75" t="s">
        <v>353</v>
      </c>
      <c r="I355" s="136">
        <v>0</v>
      </c>
      <c r="J355" s="17" t="s">
        <v>79</v>
      </c>
      <c r="K355" s="142">
        <v>46433</v>
      </c>
      <c r="L355" s="142">
        <v>46461</v>
      </c>
      <c r="M355" s="76"/>
      <c r="N355" s="77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  <c r="AY355" s="78"/>
      <c r="AZ355" s="78"/>
      <c r="BA355" s="78"/>
      <c r="BB355" s="78"/>
      <c r="BC355" s="78"/>
      <c r="BD355" s="78"/>
      <c r="BE355" s="78"/>
      <c r="BF355" s="78"/>
      <c r="BG355" s="78"/>
      <c r="BH355" s="78"/>
      <c r="BI355" s="78"/>
      <c r="BJ355" s="78"/>
      <c r="BK355" s="92"/>
      <c r="BL355" s="92"/>
      <c r="BM355" s="92"/>
      <c r="BN355" s="92"/>
      <c r="BO355" s="78"/>
      <c r="BP355" s="78"/>
      <c r="BQ355" s="78"/>
      <c r="BR355" s="78"/>
      <c r="BS355" s="78"/>
      <c r="BT355" s="78"/>
      <c r="BU355" s="78"/>
      <c r="BV355" s="78"/>
      <c r="BW355" s="78"/>
      <c r="BX355" s="78"/>
      <c r="BY355" s="78"/>
      <c r="BZ355" s="78"/>
      <c r="CA355" s="78"/>
      <c r="CB355" s="78"/>
      <c r="CC355" s="78"/>
      <c r="CD355" s="78"/>
      <c r="CE355" s="78"/>
      <c r="CF355" s="80"/>
    </row>
    <row r="356" spans="1:84" ht="15.75" x14ac:dyDescent="0.25">
      <c r="A356" s="149" t="s">
        <v>327</v>
      </c>
      <c r="B356" s="150" t="s">
        <v>516</v>
      </c>
      <c r="C356" s="96"/>
      <c r="D356" s="95" t="s">
        <v>446</v>
      </c>
      <c r="E356" s="150"/>
      <c r="F356" s="16" t="s">
        <v>13</v>
      </c>
      <c r="G356" s="16" t="s">
        <v>13</v>
      </c>
      <c r="H356" s="75" t="s">
        <v>353</v>
      </c>
      <c r="I356" s="136">
        <v>0</v>
      </c>
      <c r="J356" s="17" t="s">
        <v>79</v>
      </c>
      <c r="K356" s="142">
        <v>46433</v>
      </c>
      <c r="L356" s="142">
        <v>46446</v>
      </c>
      <c r="M356" s="76"/>
      <c r="N356" s="77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  <c r="AY356" s="78"/>
      <c r="AZ356" s="78"/>
      <c r="BA356" s="78"/>
      <c r="BB356" s="78"/>
      <c r="BC356" s="78"/>
      <c r="BD356" s="78"/>
      <c r="BE356" s="78"/>
      <c r="BF356" s="78"/>
      <c r="BG356" s="78"/>
      <c r="BH356" s="78"/>
      <c r="BI356" s="78"/>
      <c r="BJ356" s="78"/>
      <c r="BK356" s="92"/>
      <c r="BL356" s="92"/>
      <c r="BM356" s="78"/>
      <c r="BN356" s="78"/>
      <c r="BO356" s="78"/>
      <c r="BP356" s="78"/>
      <c r="BQ356" s="78"/>
      <c r="BR356" s="78"/>
      <c r="BS356" s="78"/>
      <c r="BT356" s="78"/>
      <c r="BU356" s="78"/>
      <c r="BV356" s="78"/>
      <c r="BW356" s="78"/>
      <c r="BX356" s="78"/>
      <c r="BY356" s="78"/>
      <c r="BZ356" s="78"/>
      <c r="CA356" s="78"/>
      <c r="CB356" s="78"/>
      <c r="CC356" s="78"/>
      <c r="CD356" s="78"/>
      <c r="CE356" s="78"/>
      <c r="CF356" s="80"/>
    </row>
    <row r="357" spans="1:84" ht="15.75" x14ac:dyDescent="0.25">
      <c r="A357" s="149" t="s">
        <v>327</v>
      </c>
      <c r="B357" s="150" t="s">
        <v>517</v>
      </c>
      <c r="C357" s="96"/>
      <c r="D357" s="95" t="s">
        <v>448</v>
      </c>
      <c r="E357" s="150"/>
      <c r="F357" s="16" t="s">
        <v>13</v>
      </c>
      <c r="G357" s="16" t="s">
        <v>13</v>
      </c>
      <c r="H357" s="75" t="s">
        <v>353</v>
      </c>
      <c r="I357" s="136">
        <v>0</v>
      </c>
      <c r="J357" s="17" t="s">
        <v>79</v>
      </c>
      <c r="K357" s="142">
        <v>46433</v>
      </c>
      <c r="L357" s="142">
        <v>46446</v>
      </c>
      <c r="M357" s="76"/>
      <c r="N357" s="77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78"/>
      <c r="AZ357" s="78"/>
      <c r="BA357" s="78"/>
      <c r="BB357" s="78"/>
      <c r="BC357" s="78"/>
      <c r="BD357" s="78"/>
      <c r="BE357" s="78"/>
      <c r="BF357" s="78"/>
      <c r="BG357" s="78"/>
      <c r="BH357" s="78"/>
      <c r="BI357" s="78"/>
      <c r="BJ357" s="78"/>
      <c r="BK357" s="92"/>
      <c r="BL357" s="92"/>
      <c r="BM357" s="78"/>
      <c r="BN357" s="78"/>
      <c r="BO357" s="78"/>
      <c r="BP357" s="78"/>
      <c r="BQ357" s="78"/>
      <c r="BR357" s="78"/>
      <c r="BS357" s="78"/>
      <c r="BT357" s="78"/>
      <c r="BU357" s="78"/>
      <c r="BV357" s="78"/>
      <c r="BW357" s="78"/>
      <c r="BX357" s="78"/>
      <c r="BY357" s="78"/>
      <c r="BZ357" s="78"/>
      <c r="CA357" s="78"/>
      <c r="CB357" s="78"/>
      <c r="CC357" s="78"/>
      <c r="CD357" s="78"/>
      <c r="CE357" s="78"/>
      <c r="CF357" s="80"/>
    </row>
    <row r="358" spans="1:84" ht="15.75" x14ac:dyDescent="0.25">
      <c r="A358" s="149" t="s">
        <v>327</v>
      </c>
      <c r="B358" s="150" t="s">
        <v>518</v>
      </c>
      <c r="C358" s="96"/>
      <c r="D358" s="95" t="s">
        <v>450</v>
      </c>
      <c r="E358" s="150"/>
      <c r="F358" s="16" t="s">
        <v>13</v>
      </c>
      <c r="G358" s="16" t="s">
        <v>13</v>
      </c>
      <c r="H358" s="75" t="s">
        <v>353</v>
      </c>
      <c r="I358" s="136">
        <v>0</v>
      </c>
      <c r="J358" s="17" t="s">
        <v>79</v>
      </c>
      <c r="K358" s="142">
        <v>46433</v>
      </c>
      <c r="L358" s="142">
        <v>46446</v>
      </c>
      <c r="M358" s="76"/>
      <c r="N358" s="77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  <c r="AY358" s="78"/>
      <c r="AZ358" s="78"/>
      <c r="BA358" s="78"/>
      <c r="BB358" s="78"/>
      <c r="BC358" s="78"/>
      <c r="BD358" s="78"/>
      <c r="BE358" s="78"/>
      <c r="BF358" s="78"/>
      <c r="BG358" s="78"/>
      <c r="BH358" s="78"/>
      <c r="BI358" s="78"/>
      <c r="BJ358" s="78"/>
      <c r="BK358" s="92"/>
      <c r="BL358" s="78"/>
      <c r="BM358" s="78"/>
      <c r="BN358" s="78"/>
      <c r="BO358" s="78"/>
      <c r="BP358" s="78"/>
      <c r="BQ358" s="78"/>
      <c r="BR358" s="78"/>
      <c r="BS358" s="78"/>
      <c r="BT358" s="78"/>
      <c r="BU358" s="78"/>
      <c r="BV358" s="78"/>
      <c r="BW358" s="78"/>
      <c r="BX358" s="78"/>
      <c r="BY358" s="78"/>
      <c r="BZ358" s="78"/>
      <c r="CA358" s="78"/>
      <c r="CB358" s="78"/>
      <c r="CC358" s="78"/>
      <c r="CD358" s="78"/>
      <c r="CE358" s="78"/>
      <c r="CF358" s="80"/>
    </row>
    <row r="359" spans="1:84" ht="15.75" x14ac:dyDescent="0.25">
      <c r="A359" s="149" t="s">
        <v>327</v>
      </c>
      <c r="B359" s="150" t="s">
        <v>519</v>
      </c>
      <c r="C359" s="96"/>
      <c r="D359" s="95" t="s">
        <v>452</v>
      </c>
      <c r="E359" s="150"/>
      <c r="F359" s="16" t="s">
        <v>13</v>
      </c>
      <c r="G359" s="16" t="s">
        <v>13</v>
      </c>
      <c r="H359" s="75" t="s">
        <v>353</v>
      </c>
      <c r="I359" s="136">
        <v>0</v>
      </c>
      <c r="J359" s="17" t="s">
        <v>79</v>
      </c>
      <c r="K359" s="142">
        <v>46433</v>
      </c>
      <c r="L359" s="142">
        <v>46461</v>
      </c>
      <c r="M359" s="76"/>
      <c r="N359" s="77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  <c r="AY359" s="78"/>
      <c r="AZ359" s="78"/>
      <c r="BA359" s="78"/>
      <c r="BB359" s="78"/>
      <c r="BC359" s="78"/>
      <c r="BD359" s="78"/>
      <c r="BE359" s="78"/>
      <c r="BF359" s="78"/>
      <c r="BG359" s="78"/>
      <c r="BH359" s="78"/>
      <c r="BI359" s="78"/>
      <c r="BJ359" s="78"/>
      <c r="BK359" s="92"/>
      <c r="BL359" s="92"/>
      <c r="BM359" s="92"/>
      <c r="BN359" s="92"/>
      <c r="BO359" s="78"/>
      <c r="BP359" s="78"/>
      <c r="BQ359" s="78"/>
      <c r="BR359" s="78"/>
      <c r="BS359" s="78"/>
      <c r="BT359" s="78"/>
      <c r="BU359" s="78"/>
      <c r="BV359" s="78"/>
      <c r="BW359" s="78"/>
      <c r="BX359" s="78"/>
      <c r="BY359" s="78"/>
      <c r="BZ359" s="78"/>
      <c r="CA359" s="78"/>
      <c r="CB359" s="78"/>
      <c r="CC359" s="78"/>
      <c r="CD359" s="78"/>
      <c r="CE359" s="78"/>
      <c r="CF359" s="80"/>
    </row>
    <row r="360" spans="1:84" ht="15.75" x14ac:dyDescent="0.25">
      <c r="A360" s="149" t="s">
        <v>327</v>
      </c>
      <c r="B360" s="150" t="s">
        <v>520</v>
      </c>
      <c r="C360" s="96"/>
      <c r="D360" s="95" t="s">
        <v>454</v>
      </c>
      <c r="E360" s="150"/>
      <c r="F360" s="16" t="s">
        <v>13</v>
      </c>
      <c r="G360" s="16" t="s">
        <v>13</v>
      </c>
      <c r="H360" s="75" t="s">
        <v>353</v>
      </c>
      <c r="I360" s="136">
        <v>0</v>
      </c>
      <c r="J360" s="17" t="s">
        <v>79</v>
      </c>
      <c r="K360" s="142">
        <v>46433</v>
      </c>
      <c r="L360" s="142">
        <v>46461</v>
      </c>
      <c r="M360" s="76"/>
      <c r="N360" s="77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  <c r="AY360" s="78"/>
      <c r="AZ360" s="78"/>
      <c r="BA360" s="78"/>
      <c r="BB360" s="78"/>
      <c r="BC360" s="78"/>
      <c r="BD360" s="78"/>
      <c r="BE360" s="78"/>
      <c r="BF360" s="78"/>
      <c r="BG360" s="78"/>
      <c r="BH360" s="78"/>
      <c r="BI360" s="78"/>
      <c r="BJ360" s="78"/>
      <c r="BK360" s="92"/>
      <c r="BL360" s="92"/>
      <c r="BM360" s="92"/>
      <c r="BN360" s="92"/>
      <c r="BO360" s="78"/>
      <c r="BP360" s="78"/>
      <c r="BQ360" s="78"/>
      <c r="BR360" s="78"/>
      <c r="BS360" s="78"/>
      <c r="BT360" s="78"/>
      <c r="BU360" s="78"/>
      <c r="BV360" s="78"/>
      <c r="BW360" s="78"/>
      <c r="BX360" s="78"/>
      <c r="BY360" s="78"/>
      <c r="BZ360" s="78"/>
      <c r="CA360" s="78"/>
      <c r="CB360" s="78"/>
      <c r="CC360" s="78"/>
      <c r="CD360" s="78"/>
      <c r="CE360" s="78"/>
      <c r="CF360" s="80"/>
    </row>
    <row r="361" spans="1:84" ht="15.75" x14ac:dyDescent="0.25">
      <c r="A361" s="149" t="s">
        <v>327</v>
      </c>
      <c r="B361" s="150" t="s">
        <v>521</v>
      </c>
      <c r="C361" s="96"/>
      <c r="D361" s="95" t="s">
        <v>456</v>
      </c>
      <c r="E361" s="150"/>
      <c r="F361" s="16" t="s">
        <v>13</v>
      </c>
      <c r="G361" s="16" t="s">
        <v>13</v>
      </c>
      <c r="H361" s="75" t="s">
        <v>353</v>
      </c>
      <c r="I361" s="136">
        <v>0</v>
      </c>
      <c r="J361" s="17" t="s">
        <v>79</v>
      </c>
      <c r="K361" s="142">
        <v>46433</v>
      </c>
      <c r="L361" s="142">
        <v>46461</v>
      </c>
      <c r="M361" s="76"/>
      <c r="N361" s="77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  <c r="AY361" s="78"/>
      <c r="AZ361" s="78"/>
      <c r="BA361" s="78"/>
      <c r="BB361" s="78"/>
      <c r="BC361" s="78"/>
      <c r="BD361" s="78"/>
      <c r="BE361" s="78"/>
      <c r="BF361" s="78"/>
      <c r="BG361" s="78"/>
      <c r="BH361" s="78"/>
      <c r="BI361" s="78"/>
      <c r="BJ361" s="78"/>
      <c r="BK361" s="92"/>
      <c r="BL361" s="92"/>
      <c r="BM361" s="92"/>
      <c r="BN361" s="92"/>
      <c r="BO361" s="78"/>
      <c r="BP361" s="78"/>
      <c r="BQ361" s="78"/>
      <c r="BR361" s="78"/>
      <c r="BS361" s="78"/>
      <c r="BT361" s="78"/>
      <c r="BU361" s="78"/>
      <c r="BV361" s="78"/>
      <c r="BW361" s="78"/>
      <c r="BX361" s="78"/>
      <c r="BY361" s="78"/>
      <c r="BZ361" s="78"/>
      <c r="CA361" s="78"/>
      <c r="CB361" s="78"/>
      <c r="CC361" s="78"/>
      <c r="CD361" s="78"/>
      <c r="CE361" s="78"/>
      <c r="CF361" s="80"/>
    </row>
    <row r="362" spans="1:84" ht="15.75" x14ac:dyDescent="0.25">
      <c r="A362" s="149" t="s">
        <v>327</v>
      </c>
      <c r="B362" s="150" t="s">
        <v>522</v>
      </c>
      <c r="C362" s="84"/>
      <c r="D362" s="94" t="s">
        <v>458</v>
      </c>
      <c r="E362" s="150"/>
      <c r="F362" s="16" t="s">
        <v>13</v>
      </c>
      <c r="G362" s="16" t="s">
        <v>13</v>
      </c>
      <c r="H362" s="75" t="s">
        <v>353</v>
      </c>
      <c r="I362" s="172">
        <f>AVERAGE(I363:I370)</f>
        <v>0</v>
      </c>
      <c r="J362" s="17" t="s">
        <v>79</v>
      </c>
      <c r="K362" s="142">
        <v>46433</v>
      </c>
      <c r="L362" s="142">
        <v>46461</v>
      </c>
      <c r="M362" s="76"/>
      <c r="N362" s="77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  <c r="AY362" s="78"/>
      <c r="AZ362" s="78"/>
      <c r="BA362" s="78"/>
      <c r="BB362" s="78"/>
      <c r="BC362" s="78"/>
      <c r="BD362" s="78"/>
      <c r="BE362" s="78"/>
      <c r="BF362" s="78"/>
      <c r="BG362" s="78"/>
      <c r="BH362" s="78"/>
      <c r="BI362" s="78"/>
      <c r="BJ362" s="78"/>
      <c r="BK362" s="92"/>
      <c r="BL362" s="92"/>
      <c r="BM362" s="92"/>
      <c r="BN362" s="92"/>
      <c r="BO362" s="78"/>
      <c r="BP362" s="78"/>
      <c r="BQ362" s="78"/>
      <c r="BR362" s="78"/>
      <c r="BS362" s="78"/>
      <c r="BT362" s="78"/>
      <c r="BU362" s="78"/>
      <c r="BV362" s="78"/>
      <c r="BW362" s="78"/>
      <c r="BX362" s="78"/>
      <c r="BY362" s="78"/>
      <c r="BZ362" s="78"/>
      <c r="CA362" s="78"/>
      <c r="CB362" s="78"/>
      <c r="CC362" s="78"/>
      <c r="CD362" s="78"/>
      <c r="CE362" s="78"/>
      <c r="CF362" s="80"/>
    </row>
    <row r="363" spans="1:84" ht="15.75" x14ac:dyDescent="0.25">
      <c r="A363" s="149" t="s">
        <v>327</v>
      </c>
      <c r="B363" s="150" t="s">
        <v>523</v>
      </c>
      <c r="C363" s="96"/>
      <c r="D363" s="95" t="s">
        <v>460</v>
      </c>
      <c r="E363" s="150"/>
      <c r="F363" s="16" t="s">
        <v>13</v>
      </c>
      <c r="G363" s="16" t="s">
        <v>13</v>
      </c>
      <c r="H363" s="75" t="s">
        <v>353</v>
      </c>
      <c r="I363" s="136">
        <v>0</v>
      </c>
      <c r="J363" s="17" t="s">
        <v>79</v>
      </c>
      <c r="K363" s="142">
        <v>46433</v>
      </c>
      <c r="L363" s="142">
        <v>46446</v>
      </c>
      <c r="M363" s="76"/>
      <c r="N363" s="77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78"/>
      <c r="BH363" s="78"/>
      <c r="BI363" s="78"/>
      <c r="BJ363" s="78"/>
      <c r="BK363" s="92"/>
      <c r="BL363" s="78"/>
      <c r="BM363" s="78"/>
      <c r="BN363" s="78"/>
      <c r="BO363" s="78"/>
      <c r="BP363" s="78"/>
      <c r="BQ363" s="78"/>
      <c r="BR363" s="78"/>
      <c r="BS363" s="78"/>
      <c r="BT363" s="78"/>
      <c r="BU363" s="78"/>
      <c r="BV363" s="78"/>
      <c r="BW363" s="78"/>
      <c r="BX363" s="78"/>
      <c r="BY363" s="78"/>
      <c r="BZ363" s="78"/>
      <c r="CA363" s="78"/>
      <c r="CB363" s="78"/>
      <c r="CC363" s="78"/>
      <c r="CD363" s="78"/>
      <c r="CE363" s="78"/>
      <c r="CF363" s="80"/>
    </row>
    <row r="364" spans="1:84" ht="15.75" x14ac:dyDescent="0.25">
      <c r="A364" s="149" t="s">
        <v>327</v>
      </c>
      <c r="B364" s="150" t="s">
        <v>524</v>
      </c>
      <c r="C364" s="96"/>
      <c r="D364" s="95" t="s">
        <v>462</v>
      </c>
      <c r="E364" s="150"/>
      <c r="F364" s="16" t="s">
        <v>13</v>
      </c>
      <c r="G364" s="16" t="s">
        <v>13</v>
      </c>
      <c r="H364" s="75" t="s">
        <v>353</v>
      </c>
      <c r="I364" s="136">
        <v>0</v>
      </c>
      <c r="J364" s="17" t="s">
        <v>79</v>
      </c>
      <c r="K364" s="142">
        <v>46433</v>
      </c>
      <c r="L364" s="142">
        <v>46446</v>
      </c>
      <c r="M364" s="76"/>
      <c r="N364" s="77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  <c r="AY364" s="78"/>
      <c r="AZ364" s="78"/>
      <c r="BA364" s="78"/>
      <c r="BB364" s="78"/>
      <c r="BC364" s="78"/>
      <c r="BD364" s="78"/>
      <c r="BE364" s="78"/>
      <c r="BF364" s="78"/>
      <c r="BG364" s="78"/>
      <c r="BH364" s="78"/>
      <c r="BI364" s="78"/>
      <c r="BJ364" s="78"/>
      <c r="BK364" s="92"/>
      <c r="BL364" s="78"/>
      <c r="BM364" s="78"/>
      <c r="BN364" s="78"/>
      <c r="BO364" s="78"/>
      <c r="BP364" s="78"/>
      <c r="BQ364" s="78"/>
      <c r="BR364" s="78"/>
      <c r="BS364" s="78"/>
      <c r="BT364" s="78"/>
      <c r="BU364" s="78"/>
      <c r="BV364" s="78"/>
      <c r="BW364" s="78"/>
      <c r="BX364" s="78"/>
      <c r="BY364" s="78"/>
      <c r="BZ364" s="78"/>
      <c r="CA364" s="78"/>
      <c r="CB364" s="78"/>
      <c r="CC364" s="78"/>
      <c r="CD364" s="78"/>
      <c r="CE364" s="78"/>
      <c r="CF364" s="80"/>
    </row>
    <row r="365" spans="1:84" ht="15.75" x14ac:dyDescent="0.25">
      <c r="A365" s="149" t="s">
        <v>327</v>
      </c>
      <c r="B365" s="150" t="s">
        <v>525</v>
      </c>
      <c r="C365" s="96"/>
      <c r="D365" s="95" t="s">
        <v>464</v>
      </c>
      <c r="E365" s="150"/>
      <c r="F365" s="16" t="s">
        <v>13</v>
      </c>
      <c r="G365" s="16" t="s">
        <v>13</v>
      </c>
      <c r="H365" s="75" t="s">
        <v>353</v>
      </c>
      <c r="I365" s="136">
        <v>0</v>
      </c>
      <c r="J365" s="17" t="s">
        <v>79</v>
      </c>
      <c r="K365" s="142">
        <v>46433</v>
      </c>
      <c r="L365" s="142">
        <v>46461</v>
      </c>
      <c r="M365" s="76"/>
      <c r="N365" s="77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  <c r="AY365" s="78"/>
      <c r="AZ365" s="78"/>
      <c r="BA365" s="78"/>
      <c r="BB365" s="78"/>
      <c r="BC365" s="78"/>
      <c r="BD365" s="78"/>
      <c r="BE365" s="78"/>
      <c r="BF365" s="78"/>
      <c r="BG365" s="78"/>
      <c r="BH365" s="78"/>
      <c r="BI365" s="78"/>
      <c r="BJ365" s="78"/>
      <c r="BK365" s="92"/>
      <c r="BL365" s="92"/>
      <c r="BM365" s="92"/>
      <c r="BN365" s="78"/>
      <c r="BO365" s="78"/>
      <c r="BP365" s="78"/>
      <c r="BQ365" s="78"/>
      <c r="BR365" s="78"/>
      <c r="BS365" s="78"/>
      <c r="BT365" s="78"/>
      <c r="BU365" s="78"/>
      <c r="BV365" s="78"/>
      <c r="BW365" s="78"/>
      <c r="BX365" s="78"/>
      <c r="BY365" s="78"/>
      <c r="BZ365" s="78"/>
      <c r="CA365" s="78"/>
      <c r="CB365" s="78"/>
      <c r="CC365" s="78"/>
      <c r="CD365" s="78"/>
      <c r="CE365" s="78"/>
      <c r="CF365" s="80"/>
    </row>
    <row r="366" spans="1:84" ht="15.75" x14ac:dyDescent="0.25">
      <c r="A366" s="149" t="s">
        <v>327</v>
      </c>
      <c r="B366" s="150" t="s">
        <v>526</v>
      </c>
      <c r="C366" s="96"/>
      <c r="D366" s="95" t="s">
        <v>466</v>
      </c>
      <c r="E366" s="150"/>
      <c r="F366" s="16" t="s">
        <v>13</v>
      </c>
      <c r="G366" s="16" t="s">
        <v>13</v>
      </c>
      <c r="H366" s="75" t="s">
        <v>353</v>
      </c>
      <c r="I366" s="136">
        <v>0</v>
      </c>
      <c r="J366" s="17" t="s">
        <v>79</v>
      </c>
      <c r="K366" s="142">
        <v>46433</v>
      </c>
      <c r="L366" s="142">
        <v>46461</v>
      </c>
      <c r="M366" s="76"/>
      <c r="N366" s="77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  <c r="AY366" s="78"/>
      <c r="AZ366" s="78"/>
      <c r="BA366" s="78"/>
      <c r="BB366" s="78"/>
      <c r="BC366" s="78"/>
      <c r="BD366" s="78"/>
      <c r="BE366" s="78"/>
      <c r="BF366" s="78"/>
      <c r="BG366" s="78"/>
      <c r="BH366" s="78"/>
      <c r="BI366" s="78"/>
      <c r="BJ366" s="78"/>
      <c r="BK366" s="92"/>
      <c r="BL366" s="92"/>
      <c r="BM366" s="92"/>
      <c r="BN366" s="92"/>
      <c r="BO366" s="78"/>
      <c r="BP366" s="78"/>
      <c r="BQ366" s="78"/>
      <c r="BR366" s="78"/>
      <c r="BS366" s="78"/>
      <c r="BT366" s="78"/>
      <c r="BU366" s="78"/>
      <c r="BV366" s="78"/>
      <c r="BW366" s="78"/>
      <c r="BX366" s="78"/>
      <c r="BY366" s="78"/>
      <c r="BZ366" s="78"/>
      <c r="CA366" s="78"/>
      <c r="CB366" s="78"/>
      <c r="CC366" s="78"/>
      <c r="CD366" s="78"/>
      <c r="CE366" s="78"/>
      <c r="CF366" s="80"/>
    </row>
    <row r="367" spans="1:84" ht="15.75" x14ac:dyDescent="0.25">
      <c r="A367" s="149" t="s">
        <v>327</v>
      </c>
      <c r="B367" s="150" t="s">
        <v>527</v>
      </c>
      <c r="C367" s="96"/>
      <c r="D367" s="95" t="s">
        <v>468</v>
      </c>
      <c r="E367" s="150"/>
      <c r="F367" s="16" t="s">
        <v>13</v>
      </c>
      <c r="G367" s="16" t="s">
        <v>13</v>
      </c>
      <c r="H367" s="75" t="s">
        <v>353</v>
      </c>
      <c r="I367" s="136">
        <v>0</v>
      </c>
      <c r="J367" s="17" t="s">
        <v>79</v>
      </c>
      <c r="K367" s="142">
        <v>46433</v>
      </c>
      <c r="L367" s="142">
        <v>46461</v>
      </c>
      <c r="M367" s="76"/>
      <c r="N367" s="77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  <c r="AY367" s="78"/>
      <c r="AZ367" s="78"/>
      <c r="BA367" s="78"/>
      <c r="BB367" s="78"/>
      <c r="BC367" s="78"/>
      <c r="BD367" s="78"/>
      <c r="BE367" s="78"/>
      <c r="BF367" s="78"/>
      <c r="BG367" s="78"/>
      <c r="BH367" s="78"/>
      <c r="BI367" s="78"/>
      <c r="BJ367" s="78"/>
      <c r="BK367" s="92"/>
      <c r="BL367" s="92"/>
      <c r="BM367" s="92"/>
      <c r="BN367" s="92"/>
      <c r="BO367" s="78"/>
      <c r="BP367" s="78"/>
      <c r="BQ367" s="78"/>
      <c r="BR367" s="78"/>
      <c r="BS367" s="78"/>
      <c r="BT367" s="78"/>
      <c r="BU367" s="78"/>
      <c r="BV367" s="78"/>
      <c r="BW367" s="78"/>
      <c r="BX367" s="78"/>
      <c r="BY367" s="78"/>
      <c r="BZ367" s="78"/>
      <c r="CA367" s="78"/>
      <c r="CB367" s="78"/>
      <c r="CC367" s="78"/>
      <c r="CD367" s="78"/>
      <c r="CE367" s="78"/>
      <c r="CF367" s="80"/>
    </row>
    <row r="368" spans="1:84" ht="15.75" x14ac:dyDescent="0.25">
      <c r="A368" s="149" t="s">
        <v>327</v>
      </c>
      <c r="B368" s="150" t="s">
        <v>528</v>
      </c>
      <c r="C368" s="96"/>
      <c r="D368" s="95" t="s">
        <v>470</v>
      </c>
      <c r="E368" s="150"/>
      <c r="F368" s="16" t="s">
        <v>13</v>
      </c>
      <c r="G368" s="16" t="s">
        <v>13</v>
      </c>
      <c r="H368" s="75" t="s">
        <v>353</v>
      </c>
      <c r="I368" s="136">
        <v>0</v>
      </c>
      <c r="J368" s="17" t="s">
        <v>79</v>
      </c>
      <c r="K368" s="142">
        <v>46433</v>
      </c>
      <c r="L368" s="142">
        <v>46461</v>
      </c>
      <c r="M368" s="76"/>
      <c r="N368" s="77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  <c r="AY368" s="78"/>
      <c r="AZ368" s="78"/>
      <c r="BA368" s="78"/>
      <c r="BB368" s="78"/>
      <c r="BC368" s="78"/>
      <c r="BD368" s="78"/>
      <c r="BE368" s="78"/>
      <c r="BF368" s="78"/>
      <c r="BG368" s="78"/>
      <c r="BH368" s="78"/>
      <c r="BI368" s="78"/>
      <c r="BJ368" s="78"/>
      <c r="BK368" s="92"/>
      <c r="BL368" s="92"/>
      <c r="BM368" s="92"/>
      <c r="BN368" s="92"/>
      <c r="BO368" s="78"/>
      <c r="BP368" s="78"/>
      <c r="BQ368" s="78"/>
      <c r="BR368" s="78"/>
      <c r="BS368" s="78"/>
      <c r="BT368" s="78"/>
      <c r="BU368" s="78"/>
      <c r="BV368" s="78"/>
      <c r="BW368" s="78"/>
      <c r="BX368" s="78"/>
      <c r="BY368" s="78"/>
      <c r="BZ368" s="78"/>
      <c r="CA368" s="78"/>
      <c r="CB368" s="78"/>
      <c r="CC368" s="78"/>
      <c r="CD368" s="78"/>
      <c r="CE368" s="78"/>
      <c r="CF368" s="80"/>
    </row>
    <row r="369" spans="1:84" ht="15.75" x14ac:dyDescent="0.25">
      <c r="A369" s="149" t="s">
        <v>327</v>
      </c>
      <c r="B369" s="150" t="s">
        <v>529</v>
      </c>
      <c r="C369" s="96"/>
      <c r="D369" s="95" t="s">
        <v>472</v>
      </c>
      <c r="E369" s="150"/>
      <c r="F369" s="16" t="s">
        <v>13</v>
      </c>
      <c r="G369" s="16" t="s">
        <v>13</v>
      </c>
      <c r="H369" s="75" t="s">
        <v>353</v>
      </c>
      <c r="I369" s="136">
        <v>0</v>
      </c>
      <c r="J369" s="17" t="s">
        <v>79</v>
      </c>
      <c r="K369" s="142">
        <v>46433</v>
      </c>
      <c r="L369" s="142">
        <v>46461</v>
      </c>
      <c r="M369" s="76"/>
      <c r="N369" s="77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  <c r="AY369" s="78"/>
      <c r="AZ369" s="78"/>
      <c r="BA369" s="78"/>
      <c r="BB369" s="78"/>
      <c r="BC369" s="78"/>
      <c r="BD369" s="78"/>
      <c r="BE369" s="78"/>
      <c r="BF369" s="78"/>
      <c r="BG369" s="78"/>
      <c r="BH369" s="78"/>
      <c r="BI369" s="78"/>
      <c r="BJ369" s="78"/>
      <c r="BK369" s="92"/>
      <c r="BL369" s="92"/>
      <c r="BM369" s="92"/>
      <c r="BN369" s="92"/>
      <c r="BO369" s="78"/>
      <c r="BP369" s="78"/>
      <c r="BQ369" s="78"/>
      <c r="BR369" s="78"/>
      <c r="BS369" s="78"/>
      <c r="BT369" s="78"/>
      <c r="BU369" s="78"/>
      <c r="BV369" s="78"/>
      <c r="BW369" s="78"/>
      <c r="BX369" s="78"/>
      <c r="BY369" s="78"/>
      <c r="BZ369" s="78"/>
      <c r="CA369" s="78"/>
      <c r="CB369" s="78"/>
      <c r="CC369" s="78"/>
      <c r="CD369" s="78"/>
      <c r="CE369" s="78"/>
      <c r="CF369" s="80"/>
    </row>
    <row r="370" spans="1:84" ht="15.75" x14ac:dyDescent="0.25">
      <c r="A370" s="149" t="s">
        <v>327</v>
      </c>
      <c r="B370" s="150" t="s">
        <v>530</v>
      </c>
      <c r="C370" s="96"/>
      <c r="D370" s="95" t="s">
        <v>474</v>
      </c>
      <c r="E370" s="150"/>
      <c r="F370" s="16" t="s">
        <v>13</v>
      </c>
      <c r="G370" s="16" t="s">
        <v>13</v>
      </c>
      <c r="H370" s="75" t="s">
        <v>353</v>
      </c>
      <c r="I370" s="136">
        <v>0</v>
      </c>
      <c r="J370" s="17" t="s">
        <v>79</v>
      </c>
      <c r="K370" s="142">
        <v>46433</v>
      </c>
      <c r="L370" s="142">
        <v>46461</v>
      </c>
      <c r="M370" s="76"/>
      <c r="N370" s="77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  <c r="AY370" s="78"/>
      <c r="AZ370" s="78"/>
      <c r="BA370" s="78"/>
      <c r="BB370" s="78"/>
      <c r="BC370" s="78"/>
      <c r="BD370" s="78"/>
      <c r="BE370" s="78"/>
      <c r="BF370" s="78"/>
      <c r="BG370" s="78"/>
      <c r="BH370" s="78"/>
      <c r="BI370" s="78"/>
      <c r="BJ370" s="78"/>
      <c r="BK370" s="92"/>
      <c r="BL370" s="92"/>
      <c r="BM370" s="92"/>
      <c r="BN370" s="92"/>
      <c r="BO370" s="78"/>
      <c r="BP370" s="78"/>
      <c r="BQ370" s="78"/>
      <c r="BR370" s="78"/>
      <c r="BS370" s="78"/>
      <c r="BT370" s="78"/>
      <c r="BU370" s="78"/>
      <c r="BV370" s="78"/>
      <c r="BW370" s="78"/>
      <c r="BX370" s="78"/>
      <c r="BY370" s="78"/>
      <c r="BZ370" s="78"/>
      <c r="CA370" s="78"/>
      <c r="CB370" s="78"/>
      <c r="CC370" s="78"/>
      <c r="CD370" s="78"/>
      <c r="CE370" s="78"/>
      <c r="CF370" s="80"/>
    </row>
    <row r="371" spans="1:84" ht="15.75" x14ac:dyDescent="0.25">
      <c r="A371" s="149" t="s">
        <v>327</v>
      </c>
      <c r="B371" s="150" t="s">
        <v>531</v>
      </c>
      <c r="C371" s="84"/>
      <c r="D371" s="97" t="s">
        <v>385</v>
      </c>
      <c r="E371" s="150"/>
      <c r="F371" s="16" t="s">
        <v>310</v>
      </c>
      <c r="G371" s="16" t="s">
        <v>13</v>
      </c>
      <c r="H371" s="105" t="s">
        <v>353</v>
      </c>
      <c r="I371" s="169">
        <v>0</v>
      </c>
      <c r="J371" s="17" t="s">
        <v>79</v>
      </c>
      <c r="K371" s="142">
        <v>46447</v>
      </c>
      <c r="L371" s="142">
        <v>46461</v>
      </c>
      <c r="M371" s="76"/>
      <c r="N371" s="77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  <c r="AQ371" s="86"/>
      <c r="AR371" s="86"/>
      <c r="AS371" s="86"/>
      <c r="AT371" s="86"/>
      <c r="AU371" s="86"/>
      <c r="AV371" s="86"/>
      <c r="AW371" s="86"/>
      <c r="AX371" s="86"/>
      <c r="AY371" s="86"/>
      <c r="AZ371" s="86"/>
      <c r="BA371" s="86"/>
      <c r="BB371" s="86"/>
      <c r="BC371" s="86"/>
      <c r="BD371" s="86"/>
      <c r="BE371" s="86"/>
      <c r="BF371" s="86"/>
      <c r="BG371" s="86"/>
      <c r="BH371" s="86"/>
      <c r="BI371" s="86"/>
      <c r="BJ371" s="86"/>
      <c r="BK371" s="78"/>
      <c r="BL371" s="78"/>
      <c r="BM371" s="92"/>
      <c r="BN371" s="92"/>
      <c r="BO371" s="86"/>
      <c r="BP371" s="86"/>
      <c r="BQ371" s="86"/>
      <c r="BR371" s="86"/>
      <c r="BS371" s="86"/>
      <c r="BT371" s="86"/>
      <c r="BU371" s="86"/>
      <c r="BV371" s="86"/>
      <c r="BW371" s="86"/>
      <c r="BX371" s="86"/>
      <c r="BY371" s="86"/>
      <c r="BZ371" s="86"/>
      <c r="CA371" s="86"/>
      <c r="CB371" s="86"/>
      <c r="CC371" s="86"/>
      <c r="CD371" s="86"/>
      <c r="CE371" s="86"/>
      <c r="CF371" s="88"/>
    </row>
    <row r="372" spans="1:84" ht="15.75" x14ac:dyDescent="0.25">
      <c r="A372" s="149" t="s">
        <v>327</v>
      </c>
      <c r="B372" s="150" t="s">
        <v>532</v>
      </c>
      <c r="C372" s="84"/>
      <c r="D372" s="97" t="s">
        <v>387</v>
      </c>
      <c r="E372" s="150"/>
      <c r="F372" s="16" t="s">
        <v>274</v>
      </c>
      <c r="G372" s="16" t="s">
        <v>13</v>
      </c>
      <c r="H372" s="105" t="s">
        <v>353</v>
      </c>
      <c r="I372" s="169">
        <v>0</v>
      </c>
      <c r="J372" s="17" t="s">
        <v>79</v>
      </c>
      <c r="K372" s="142">
        <v>46447</v>
      </c>
      <c r="L372" s="142">
        <v>46461</v>
      </c>
      <c r="M372" s="76"/>
      <c r="N372" s="77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  <c r="AQ372" s="86"/>
      <c r="AR372" s="86"/>
      <c r="AS372" s="86"/>
      <c r="AT372" s="86"/>
      <c r="AU372" s="86"/>
      <c r="AV372" s="86"/>
      <c r="AW372" s="86"/>
      <c r="AX372" s="86"/>
      <c r="AY372" s="86"/>
      <c r="AZ372" s="86"/>
      <c r="BA372" s="86"/>
      <c r="BB372" s="86"/>
      <c r="BC372" s="86"/>
      <c r="BD372" s="86"/>
      <c r="BE372" s="86"/>
      <c r="BF372" s="86"/>
      <c r="BG372" s="86"/>
      <c r="BH372" s="86"/>
      <c r="BI372" s="86"/>
      <c r="BJ372" s="86"/>
      <c r="BK372" s="86"/>
      <c r="BL372" s="86"/>
      <c r="BM372" s="92"/>
      <c r="BN372" s="92"/>
      <c r="BO372" s="86"/>
      <c r="BP372" s="86"/>
      <c r="BQ372" s="86"/>
      <c r="BR372" s="86"/>
      <c r="BS372" s="86"/>
      <c r="BT372" s="86"/>
      <c r="BU372" s="86"/>
      <c r="BV372" s="86"/>
      <c r="BW372" s="86"/>
      <c r="BX372" s="86"/>
      <c r="BY372" s="86"/>
      <c r="BZ372" s="86"/>
      <c r="CA372" s="86"/>
      <c r="CB372" s="86"/>
      <c r="CC372" s="86"/>
      <c r="CD372" s="86"/>
      <c r="CE372" s="86"/>
      <c r="CF372" s="88"/>
    </row>
    <row r="373" spans="1:84" ht="67.5" x14ac:dyDescent="0.25">
      <c r="A373" s="149" t="s">
        <v>327</v>
      </c>
      <c r="B373" s="150" t="s">
        <v>533</v>
      </c>
      <c r="C373" s="84"/>
      <c r="D373" s="43" t="s">
        <v>534</v>
      </c>
      <c r="E373" s="150"/>
      <c r="F373" s="16" t="s">
        <v>13</v>
      </c>
      <c r="G373" s="16" t="s">
        <v>535</v>
      </c>
      <c r="H373" s="105" t="s">
        <v>353</v>
      </c>
      <c r="I373" s="169">
        <v>0</v>
      </c>
      <c r="J373" s="17" t="s">
        <v>79</v>
      </c>
      <c r="K373" s="142">
        <v>46447</v>
      </c>
      <c r="L373" s="142">
        <v>46461</v>
      </c>
      <c r="M373" s="76"/>
      <c r="N373" s="77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  <c r="AQ373" s="86"/>
      <c r="AR373" s="86"/>
      <c r="AS373" s="86"/>
      <c r="AT373" s="86"/>
      <c r="AU373" s="86"/>
      <c r="AV373" s="86"/>
      <c r="AW373" s="86"/>
      <c r="AX373" s="86"/>
      <c r="AY373" s="86"/>
      <c r="AZ373" s="86"/>
      <c r="BA373" s="86"/>
      <c r="BB373" s="86"/>
      <c r="BC373" s="86"/>
      <c r="BD373" s="86"/>
      <c r="BE373" s="86"/>
      <c r="BF373" s="86"/>
      <c r="BG373" s="86"/>
      <c r="BH373" s="86"/>
      <c r="BI373" s="86"/>
      <c r="BJ373" s="86"/>
      <c r="BK373" s="86"/>
      <c r="BL373" s="86"/>
      <c r="BM373" s="86"/>
      <c r="BN373" s="89"/>
      <c r="BO373" s="86"/>
      <c r="BP373" s="86"/>
      <c r="BQ373" s="86"/>
      <c r="BR373" s="86"/>
      <c r="BS373" s="86"/>
      <c r="BT373" s="86"/>
      <c r="BU373" s="86"/>
      <c r="BV373" s="86"/>
      <c r="BW373" s="86"/>
      <c r="BX373" s="86"/>
      <c r="BY373" s="86"/>
      <c r="BZ373" s="86"/>
      <c r="CA373" s="86"/>
      <c r="CB373" s="86"/>
      <c r="CC373" s="86"/>
      <c r="CD373" s="86"/>
      <c r="CE373" s="86"/>
      <c r="CF373" s="88"/>
    </row>
    <row r="374" spans="1:84" ht="15.75" x14ac:dyDescent="0.25">
      <c r="A374" s="149" t="s">
        <v>327</v>
      </c>
      <c r="B374" s="150" t="s">
        <v>536</v>
      </c>
      <c r="C374" s="90"/>
      <c r="D374" s="15" t="s">
        <v>537</v>
      </c>
      <c r="E374" s="150"/>
      <c r="F374" s="16" t="s">
        <v>13</v>
      </c>
      <c r="G374" s="16" t="s">
        <v>13</v>
      </c>
      <c r="H374" s="75" t="s">
        <v>353</v>
      </c>
      <c r="I374" s="75"/>
      <c r="J374" s="17" t="s">
        <v>79</v>
      </c>
      <c r="K374" s="142">
        <v>46174</v>
      </c>
      <c r="L374" s="142">
        <v>46461</v>
      </c>
      <c r="M374" s="76"/>
      <c r="N374" s="77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91"/>
      <c r="AE374" s="91"/>
      <c r="AF374" s="91"/>
      <c r="AG374" s="91"/>
      <c r="AH374" s="91"/>
      <c r="AI374" s="91"/>
      <c r="AJ374" s="91"/>
      <c r="AK374" s="91"/>
      <c r="AL374" s="91"/>
      <c r="AM374" s="91"/>
      <c r="AN374" s="91"/>
      <c r="AO374" s="91"/>
      <c r="AP374" s="91"/>
      <c r="AQ374" s="91"/>
      <c r="AR374" s="91"/>
      <c r="AS374" s="91"/>
      <c r="AT374" s="91"/>
      <c r="AU374" s="91"/>
      <c r="AV374" s="91"/>
      <c r="AW374" s="91"/>
      <c r="AX374" s="91"/>
      <c r="AY374" s="91"/>
      <c r="AZ374" s="91"/>
      <c r="BA374" s="91"/>
      <c r="BB374" s="91"/>
      <c r="BC374" s="91"/>
      <c r="BD374" s="91"/>
      <c r="BE374" s="91"/>
      <c r="BF374" s="91"/>
      <c r="BG374" s="91"/>
      <c r="BH374" s="91"/>
      <c r="BI374" s="91"/>
      <c r="BJ374" s="91"/>
      <c r="BK374" s="91"/>
      <c r="BL374" s="91"/>
      <c r="BM374" s="91"/>
      <c r="BN374" s="91"/>
      <c r="BO374" s="78"/>
      <c r="BP374" s="78"/>
      <c r="BQ374" s="78"/>
      <c r="BR374" s="78"/>
      <c r="BS374" s="78"/>
      <c r="BT374" s="78"/>
      <c r="BU374" s="78"/>
      <c r="BV374" s="78"/>
      <c r="BW374" s="78"/>
      <c r="BX374" s="78"/>
      <c r="BY374" s="78"/>
      <c r="BZ374" s="78"/>
      <c r="CA374" s="78"/>
      <c r="CB374" s="78"/>
      <c r="CC374" s="78"/>
      <c r="CD374" s="78"/>
      <c r="CE374" s="78"/>
      <c r="CF374" s="80"/>
    </row>
    <row r="375" spans="1:84" ht="15.75" x14ac:dyDescent="0.25">
      <c r="A375" s="149" t="s">
        <v>327</v>
      </c>
      <c r="B375" s="150" t="s">
        <v>538</v>
      </c>
      <c r="C375" s="73"/>
      <c r="D375" s="26" t="s">
        <v>334</v>
      </c>
      <c r="E375" s="150"/>
      <c r="F375" s="16" t="s">
        <v>13</v>
      </c>
      <c r="G375" s="16" t="s">
        <v>13</v>
      </c>
      <c r="H375" s="75" t="s">
        <v>353</v>
      </c>
      <c r="I375" s="136">
        <v>0</v>
      </c>
      <c r="J375" s="17" t="s">
        <v>79</v>
      </c>
      <c r="K375" s="142">
        <v>46174</v>
      </c>
      <c r="L375" s="142">
        <v>46218</v>
      </c>
      <c r="M375" s="76"/>
      <c r="N375" s="77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92"/>
      <c r="AE375" s="92"/>
      <c r="AF375" s="92"/>
      <c r="AG375" s="92"/>
      <c r="AH375" s="92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78"/>
      <c r="AZ375" s="78"/>
      <c r="BA375" s="78"/>
      <c r="BB375" s="78"/>
      <c r="BC375" s="78"/>
      <c r="BD375" s="78"/>
      <c r="BE375" s="78"/>
      <c r="BF375" s="78"/>
      <c r="BG375" s="78"/>
      <c r="BH375" s="78"/>
      <c r="BI375" s="78"/>
      <c r="BJ375" s="78"/>
      <c r="BK375" s="78"/>
      <c r="BL375" s="78"/>
      <c r="BM375" s="78"/>
      <c r="BN375" s="78"/>
      <c r="BO375" s="78"/>
      <c r="BP375" s="78"/>
      <c r="BQ375" s="78"/>
      <c r="BR375" s="78"/>
      <c r="BS375" s="78"/>
      <c r="BT375" s="78"/>
      <c r="BU375" s="78"/>
      <c r="BV375" s="78"/>
      <c r="BW375" s="78"/>
      <c r="BX375" s="78"/>
      <c r="BY375" s="78"/>
      <c r="BZ375" s="78"/>
      <c r="CA375" s="78"/>
      <c r="CB375" s="78"/>
      <c r="CC375" s="78"/>
      <c r="CD375" s="78"/>
      <c r="CE375" s="78"/>
      <c r="CF375" s="80"/>
    </row>
    <row r="376" spans="1:84" ht="15.75" x14ac:dyDescent="0.25">
      <c r="A376" s="149" t="s">
        <v>327</v>
      </c>
      <c r="B376" s="150" t="s">
        <v>539</v>
      </c>
      <c r="C376" s="73"/>
      <c r="D376" s="26" t="s">
        <v>540</v>
      </c>
      <c r="E376" s="150"/>
      <c r="F376" s="16" t="s">
        <v>13</v>
      </c>
      <c r="G376" s="16" t="s">
        <v>13</v>
      </c>
      <c r="H376" s="75" t="s">
        <v>353</v>
      </c>
      <c r="I376" s="136">
        <v>0</v>
      </c>
      <c r="J376" s="17" t="s">
        <v>79</v>
      </c>
      <c r="K376" s="142">
        <v>46280</v>
      </c>
      <c r="L376" s="142">
        <v>46371</v>
      </c>
      <c r="M376" s="76"/>
      <c r="N376" s="77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92"/>
      <c r="AR376" s="92"/>
      <c r="AS376" s="92"/>
      <c r="AT376" s="92"/>
      <c r="AU376" s="92"/>
      <c r="AV376" s="92"/>
      <c r="AW376" s="92"/>
      <c r="AX376" s="92"/>
      <c r="AY376" s="92"/>
      <c r="AZ376" s="92"/>
      <c r="BA376" s="92"/>
      <c r="BB376" s="92"/>
      <c r="BC376" s="78"/>
      <c r="BD376" s="78"/>
      <c r="BE376" s="78"/>
      <c r="BF376" s="78"/>
      <c r="BG376" s="78"/>
      <c r="BH376" s="78"/>
      <c r="BI376" s="78"/>
      <c r="BJ376" s="78"/>
      <c r="BK376" s="78"/>
      <c r="BL376" s="78"/>
      <c r="BM376" s="78"/>
      <c r="BN376" s="78"/>
      <c r="BO376" s="78"/>
      <c r="BP376" s="78"/>
      <c r="BQ376" s="78"/>
      <c r="BR376" s="78"/>
      <c r="BS376" s="78"/>
      <c r="BT376" s="78"/>
      <c r="BU376" s="78"/>
      <c r="BV376" s="78"/>
      <c r="BW376" s="78"/>
      <c r="BX376" s="78"/>
      <c r="BY376" s="78"/>
      <c r="BZ376" s="78"/>
      <c r="CA376" s="78"/>
      <c r="CB376" s="78"/>
      <c r="CC376" s="78"/>
      <c r="CD376" s="78"/>
      <c r="CE376" s="78"/>
      <c r="CF376" s="80"/>
    </row>
    <row r="377" spans="1:84" ht="15.75" x14ac:dyDescent="0.25">
      <c r="A377" s="149" t="s">
        <v>327</v>
      </c>
      <c r="B377" s="150" t="s">
        <v>541</v>
      </c>
      <c r="C377" s="84"/>
      <c r="D377" s="26" t="s">
        <v>338</v>
      </c>
      <c r="E377" s="150"/>
      <c r="F377" s="16" t="s">
        <v>13</v>
      </c>
      <c r="G377" s="16" t="s">
        <v>13</v>
      </c>
      <c r="H377" s="75" t="s">
        <v>353</v>
      </c>
      <c r="I377" s="136">
        <v>0</v>
      </c>
      <c r="J377" s="17" t="s">
        <v>79</v>
      </c>
      <c r="K377" s="142">
        <v>46341</v>
      </c>
      <c r="L377" s="142">
        <v>46371</v>
      </c>
      <c r="M377" s="76"/>
      <c r="N377" s="77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  <c r="AY377" s="78"/>
      <c r="AZ377" s="92"/>
      <c r="BA377" s="92"/>
      <c r="BB377" s="92"/>
      <c r="BC377" s="78"/>
      <c r="BD377" s="78"/>
      <c r="BE377" s="78"/>
      <c r="BF377" s="78"/>
      <c r="BG377" s="78"/>
      <c r="BH377" s="78"/>
      <c r="BI377" s="78"/>
      <c r="BJ377" s="78"/>
      <c r="BK377" s="78"/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80"/>
    </row>
    <row r="378" spans="1:84" ht="15.75" x14ac:dyDescent="0.25">
      <c r="A378" s="149" t="s">
        <v>327</v>
      </c>
      <c r="B378" s="150" t="s">
        <v>542</v>
      </c>
      <c r="C378" s="73"/>
      <c r="D378" s="69" t="s">
        <v>340</v>
      </c>
      <c r="E378" s="150"/>
      <c r="F378" s="16" t="s">
        <v>13</v>
      </c>
      <c r="G378" s="16" t="s">
        <v>13</v>
      </c>
      <c r="H378" s="75" t="s">
        <v>353</v>
      </c>
      <c r="I378" s="75"/>
      <c r="J378" s="17" t="s">
        <v>79</v>
      </c>
      <c r="K378" s="142">
        <v>46280</v>
      </c>
      <c r="L378" s="142">
        <v>46371</v>
      </c>
      <c r="M378" s="76"/>
      <c r="N378" s="77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93"/>
      <c r="AR378" s="93"/>
      <c r="AS378" s="93"/>
      <c r="AT378" s="93"/>
      <c r="AU378" s="93"/>
      <c r="AV378" s="93"/>
      <c r="AW378" s="93"/>
      <c r="AX378" s="93"/>
      <c r="AY378" s="93"/>
      <c r="AZ378" s="93"/>
      <c r="BA378" s="93"/>
      <c r="BB378" s="93"/>
      <c r="BC378" s="78"/>
      <c r="BD378" s="78"/>
      <c r="BE378" s="78"/>
      <c r="BF378" s="78"/>
      <c r="BG378" s="78"/>
      <c r="BH378" s="78"/>
      <c r="BI378" s="78"/>
      <c r="BJ378" s="78"/>
      <c r="BK378" s="78"/>
      <c r="BL378" s="78"/>
      <c r="BM378" s="78"/>
      <c r="BN378" s="78"/>
      <c r="BO378" s="78"/>
      <c r="BP378" s="78"/>
      <c r="BQ378" s="78"/>
      <c r="BR378" s="78"/>
      <c r="BS378" s="78"/>
      <c r="BT378" s="78"/>
      <c r="BU378" s="78"/>
      <c r="BV378" s="78"/>
      <c r="BW378" s="78"/>
      <c r="BX378" s="78"/>
      <c r="BY378" s="78"/>
      <c r="BZ378" s="78"/>
      <c r="CA378" s="78"/>
      <c r="CB378" s="78"/>
      <c r="CC378" s="78"/>
      <c r="CD378" s="78"/>
      <c r="CE378" s="78"/>
      <c r="CF378" s="80"/>
    </row>
    <row r="379" spans="1:84" ht="15.75" x14ac:dyDescent="0.25">
      <c r="A379" s="149" t="s">
        <v>327</v>
      </c>
      <c r="B379" s="150" t="s">
        <v>543</v>
      </c>
      <c r="C379" s="84"/>
      <c r="D379" s="94" t="s">
        <v>544</v>
      </c>
      <c r="E379" s="150"/>
      <c r="F379" s="16" t="s">
        <v>13</v>
      </c>
      <c r="G379" s="16" t="s">
        <v>13</v>
      </c>
      <c r="H379" s="75" t="s">
        <v>353</v>
      </c>
      <c r="I379" s="75"/>
      <c r="J379" s="17" t="s">
        <v>79</v>
      </c>
      <c r="K379" s="142">
        <v>46280</v>
      </c>
      <c r="L379" s="142">
        <v>46356</v>
      </c>
      <c r="M379" s="76"/>
      <c r="N379" s="77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  <c r="AQ379" s="87"/>
      <c r="AR379" s="87"/>
      <c r="AS379" s="87"/>
      <c r="AT379" s="87"/>
      <c r="AU379" s="87"/>
      <c r="AV379" s="87"/>
      <c r="AW379" s="87"/>
      <c r="AX379" s="87"/>
      <c r="AY379" s="87"/>
      <c r="AZ379" s="86"/>
      <c r="BA379" s="86"/>
      <c r="BB379" s="86"/>
      <c r="BC379" s="86"/>
      <c r="BD379" s="86"/>
      <c r="BE379" s="86"/>
      <c r="BF379" s="86"/>
      <c r="BG379" s="86"/>
      <c r="BH379" s="86"/>
      <c r="BI379" s="86"/>
      <c r="BJ379" s="86"/>
      <c r="BK379" s="86"/>
      <c r="BL379" s="86"/>
      <c r="BM379" s="86"/>
      <c r="BN379" s="86"/>
      <c r="BO379" s="86"/>
      <c r="BP379" s="86"/>
      <c r="BQ379" s="86"/>
      <c r="BR379" s="86"/>
      <c r="BS379" s="86"/>
      <c r="BT379" s="86"/>
      <c r="BU379" s="86"/>
      <c r="BV379" s="86"/>
      <c r="BW379" s="86"/>
      <c r="BX379" s="86"/>
      <c r="BY379" s="86"/>
      <c r="BZ379" s="86"/>
      <c r="CA379" s="86"/>
      <c r="CB379" s="86"/>
      <c r="CC379" s="86"/>
      <c r="CD379" s="86"/>
      <c r="CE379" s="86"/>
      <c r="CF379" s="88"/>
    </row>
    <row r="380" spans="1:84" ht="15.75" x14ac:dyDescent="0.25">
      <c r="A380" s="149" t="s">
        <v>327</v>
      </c>
      <c r="B380" s="150" t="s">
        <v>545</v>
      </c>
      <c r="C380" s="96"/>
      <c r="D380" s="95" t="s">
        <v>546</v>
      </c>
      <c r="E380" s="150"/>
      <c r="F380" s="16" t="s">
        <v>13</v>
      </c>
      <c r="G380" s="16" t="s">
        <v>13</v>
      </c>
      <c r="H380" s="75" t="s">
        <v>353</v>
      </c>
      <c r="I380" s="136">
        <v>0</v>
      </c>
      <c r="J380" s="17" t="s">
        <v>79</v>
      </c>
      <c r="K380" s="142">
        <v>46280</v>
      </c>
      <c r="L380" s="142">
        <v>46341</v>
      </c>
      <c r="M380" s="76"/>
      <c r="N380" s="77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  <c r="AQ380" s="87"/>
      <c r="AR380" s="87"/>
      <c r="AS380" s="87"/>
      <c r="AT380" s="87"/>
      <c r="AU380" s="87"/>
      <c r="AV380" s="87"/>
      <c r="AW380" s="87"/>
      <c r="AX380" s="87"/>
      <c r="AY380" s="86"/>
      <c r="AZ380" s="86"/>
      <c r="BA380" s="86"/>
      <c r="BB380" s="86"/>
      <c r="BC380" s="86"/>
      <c r="BD380" s="86"/>
      <c r="BE380" s="86"/>
      <c r="BF380" s="86"/>
      <c r="BG380" s="86"/>
      <c r="BH380" s="86"/>
      <c r="BI380" s="86"/>
      <c r="BJ380" s="86"/>
      <c r="BK380" s="86"/>
      <c r="BL380" s="86"/>
      <c r="BM380" s="86"/>
      <c r="BN380" s="86"/>
      <c r="BO380" s="86"/>
      <c r="BP380" s="86"/>
      <c r="BQ380" s="86"/>
      <c r="BR380" s="86"/>
      <c r="BS380" s="86"/>
      <c r="BT380" s="86"/>
      <c r="BU380" s="86"/>
      <c r="BV380" s="86"/>
      <c r="BW380" s="86"/>
      <c r="BX380" s="86"/>
      <c r="BY380" s="86"/>
      <c r="BZ380" s="86"/>
      <c r="CA380" s="86"/>
      <c r="CB380" s="86"/>
      <c r="CC380" s="86"/>
      <c r="CD380" s="86"/>
      <c r="CE380" s="86"/>
      <c r="CF380" s="88"/>
    </row>
    <row r="381" spans="1:84" ht="15.75" x14ac:dyDescent="0.25">
      <c r="A381" s="149" t="s">
        <v>327</v>
      </c>
      <c r="B381" s="150" t="s">
        <v>547</v>
      </c>
      <c r="C381" s="96"/>
      <c r="D381" s="95" t="s">
        <v>548</v>
      </c>
      <c r="E381" s="150"/>
      <c r="F381" s="16" t="s">
        <v>13</v>
      </c>
      <c r="G381" s="16" t="s">
        <v>13</v>
      </c>
      <c r="H381" s="75" t="s">
        <v>353</v>
      </c>
      <c r="I381" s="136">
        <v>0</v>
      </c>
      <c r="J381" s="17" t="s">
        <v>79</v>
      </c>
      <c r="K381" s="142">
        <v>46280</v>
      </c>
      <c r="L381" s="142">
        <v>46341</v>
      </c>
      <c r="M381" s="76"/>
      <c r="N381" s="77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  <c r="AQ381" s="87"/>
      <c r="AR381" s="87"/>
      <c r="AS381" s="87"/>
      <c r="AT381" s="87"/>
      <c r="AU381" s="87"/>
      <c r="AV381" s="87"/>
      <c r="AW381" s="87"/>
      <c r="AX381" s="87"/>
      <c r="AY381" s="86"/>
      <c r="AZ381" s="86"/>
      <c r="BA381" s="86"/>
      <c r="BB381" s="86"/>
      <c r="BC381" s="86"/>
      <c r="BD381" s="86"/>
      <c r="BE381" s="86"/>
      <c r="BF381" s="86"/>
      <c r="BG381" s="86"/>
      <c r="BH381" s="86"/>
      <c r="BI381" s="86"/>
      <c r="BJ381" s="86"/>
      <c r="BK381" s="86"/>
      <c r="BL381" s="86"/>
      <c r="BM381" s="86"/>
      <c r="BN381" s="86"/>
      <c r="BO381" s="86"/>
      <c r="BP381" s="86"/>
      <c r="BQ381" s="86"/>
      <c r="BR381" s="86"/>
      <c r="BS381" s="86"/>
      <c r="BT381" s="86"/>
      <c r="BU381" s="86"/>
      <c r="BV381" s="86"/>
      <c r="BW381" s="86"/>
      <c r="BX381" s="86"/>
      <c r="BY381" s="86"/>
      <c r="BZ381" s="86"/>
      <c r="CA381" s="86"/>
      <c r="CB381" s="86"/>
      <c r="CC381" s="86"/>
      <c r="CD381" s="86"/>
      <c r="CE381" s="86"/>
      <c r="CF381" s="88"/>
    </row>
    <row r="382" spans="1:84" ht="15.75" x14ac:dyDescent="0.25">
      <c r="A382" s="149" t="s">
        <v>327</v>
      </c>
      <c r="B382" s="150" t="s">
        <v>549</v>
      </c>
      <c r="C382" s="96"/>
      <c r="D382" s="95" t="s">
        <v>550</v>
      </c>
      <c r="E382" s="150"/>
      <c r="F382" s="16" t="s">
        <v>13</v>
      </c>
      <c r="G382" s="16" t="s">
        <v>13</v>
      </c>
      <c r="H382" s="75" t="s">
        <v>353</v>
      </c>
      <c r="I382" s="136">
        <v>0</v>
      </c>
      <c r="J382" s="17" t="s">
        <v>79</v>
      </c>
      <c r="K382" s="142">
        <v>46296</v>
      </c>
      <c r="L382" s="142">
        <v>46356</v>
      </c>
      <c r="M382" s="76"/>
      <c r="N382" s="77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  <c r="AQ382" s="86"/>
      <c r="AR382" s="86"/>
      <c r="AS382" s="87"/>
      <c r="AT382" s="87"/>
      <c r="AU382" s="87"/>
      <c r="AV382" s="87"/>
      <c r="AW382" s="87"/>
      <c r="AX382" s="87"/>
      <c r="AY382" s="87"/>
      <c r="AZ382" s="86"/>
      <c r="BA382" s="86"/>
      <c r="BB382" s="86"/>
      <c r="BC382" s="86"/>
      <c r="BD382" s="86"/>
      <c r="BE382" s="86"/>
      <c r="BF382" s="86"/>
      <c r="BG382" s="86"/>
      <c r="BH382" s="86"/>
      <c r="BI382" s="86"/>
      <c r="BJ382" s="86"/>
      <c r="BK382" s="86"/>
      <c r="BL382" s="86"/>
      <c r="BM382" s="86"/>
      <c r="BN382" s="86"/>
      <c r="BO382" s="86"/>
      <c r="BP382" s="86"/>
      <c r="BQ382" s="86"/>
      <c r="BR382" s="86"/>
      <c r="BS382" s="86"/>
      <c r="BT382" s="86"/>
      <c r="BU382" s="86"/>
      <c r="BV382" s="86"/>
      <c r="BW382" s="86"/>
      <c r="BX382" s="86"/>
      <c r="BY382" s="86"/>
      <c r="BZ382" s="86"/>
      <c r="CA382" s="86"/>
      <c r="CB382" s="86"/>
      <c r="CC382" s="86"/>
      <c r="CD382" s="86"/>
      <c r="CE382" s="86"/>
      <c r="CF382" s="88"/>
    </row>
    <row r="383" spans="1:84" ht="15.75" x14ac:dyDescent="0.25">
      <c r="A383" s="149" t="s">
        <v>327</v>
      </c>
      <c r="B383" s="150" t="s">
        <v>551</v>
      </c>
      <c r="C383" s="96"/>
      <c r="D383" s="95" t="s">
        <v>552</v>
      </c>
      <c r="E383" s="150"/>
      <c r="F383" s="16" t="s">
        <v>13</v>
      </c>
      <c r="G383" s="16" t="s">
        <v>13</v>
      </c>
      <c r="H383" s="75" t="s">
        <v>353</v>
      </c>
      <c r="I383" s="136">
        <v>0</v>
      </c>
      <c r="J383" s="17" t="s">
        <v>79</v>
      </c>
      <c r="K383" s="142">
        <v>46327</v>
      </c>
      <c r="L383" s="142">
        <v>46371</v>
      </c>
      <c r="M383" s="76"/>
      <c r="N383" s="77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7"/>
      <c r="AX383" s="87"/>
      <c r="AY383" s="87"/>
      <c r="AZ383" s="87"/>
      <c r="BA383" s="87"/>
      <c r="BB383" s="87"/>
      <c r="BC383" s="86"/>
      <c r="BD383" s="86"/>
      <c r="BE383" s="86"/>
      <c r="BF383" s="86"/>
      <c r="BG383" s="86"/>
      <c r="BH383" s="86"/>
      <c r="BI383" s="86"/>
      <c r="BJ383" s="86"/>
      <c r="BK383" s="86"/>
      <c r="BL383" s="86"/>
      <c r="BM383" s="86"/>
      <c r="BN383" s="86"/>
      <c r="BO383" s="86"/>
      <c r="BP383" s="86"/>
      <c r="BQ383" s="86"/>
      <c r="BR383" s="86"/>
      <c r="BS383" s="86"/>
      <c r="BT383" s="86"/>
      <c r="BU383" s="86"/>
      <c r="BV383" s="86"/>
      <c r="BW383" s="86"/>
      <c r="BX383" s="86"/>
      <c r="BY383" s="86"/>
      <c r="BZ383" s="86"/>
      <c r="CA383" s="86"/>
      <c r="CB383" s="86"/>
      <c r="CC383" s="86"/>
      <c r="CD383" s="86"/>
      <c r="CE383" s="86"/>
      <c r="CF383" s="88"/>
    </row>
    <row r="384" spans="1:84" ht="15.75" x14ac:dyDescent="0.25">
      <c r="A384" s="149" t="s">
        <v>327</v>
      </c>
      <c r="B384" s="150" t="s">
        <v>553</v>
      </c>
      <c r="C384" s="96"/>
      <c r="D384" s="95" t="s">
        <v>554</v>
      </c>
      <c r="E384" s="150"/>
      <c r="F384" s="16" t="s">
        <v>13</v>
      </c>
      <c r="G384" s="16" t="s">
        <v>13</v>
      </c>
      <c r="H384" s="75" t="s">
        <v>353</v>
      </c>
      <c r="I384" s="136">
        <v>0</v>
      </c>
      <c r="J384" s="17" t="s">
        <v>79</v>
      </c>
      <c r="K384" s="142">
        <v>46310</v>
      </c>
      <c r="L384" s="142">
        <v>46371</v>
      </c>
      <c r="M384" s="76"/>
      <c r="N384" s="77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  <c r="AQ384" s="86"/>
      <c r="AR384" s="86"/>
      <c r="AS384" s="86"/>
      <c r="AT384" s="86"/>
      <c r="AU384" s="86"/>
      <c r="AV384" s="87"/>
      <c r="AW384" s="87"/>
      <c r="AX384" s="87"/>
      <c r="AY384" s="87"/>
      <c r="AZ384" s="87"/>
      <c r="BA384" s="87"/>
      <c r="BB384" s="87"/>
      <c r="BC384" s="86"/>
      <c r="BD384" s="86"/>
      <c r="BE384" s="86"/>
      <c r="BF384" s="86"/>
      <c r="BG384" s="86"/>
      <c r="BH384" s="86"/>
      <c r="BI384" s="86"/>
      <c r="BJ384" s="86"/>
      <c r="BK384" s="86"/>
      <c r="BL384" s="86"/>
      <c r="BM384" s="86"/>
      <c r="BN384" s="86"/>
      <c r="BO384" s="86"/>
      <c r="BP384" s="86"/>
      <c r="BQ384" s="86"/>
      <c r="BR384" s="86"/>
      <c r="BS384" s="86"/>
      <c r="BT384" s="86"/>
      <c r="BU384" s="86"/>
      <c r="BV384" s="86"/>
      <c r="BW384" s="86"/>
      <c r="BX384" s="86"/>
      <c r="BY384" s="86"/>
      <c r="BZ384" s="86"/>
      <c r="CA384" s="86"/>
      <c r="CB384" s="86"/>
      <c r="CC384" s="86"/>
      <c r="CD384" s="86"/>
      <c r="CE384" s="86"/>
      <c r="CF384" s="88"/>
    </row>
    <row r="385" spans="1:84" ht="15.75" x14ac:dyDescent="0.25">
      <c r="A385" s="149" t="s">
        <v>327</v>
      </c>
      <c r="B385" s="150" t="s">
        <v>555</v>
      </c>
      <c r="C385" s="96"/>
      <c r="D385" s="95" t="s">
        <v>556</v>
      </c>
      <c r="E385" s="150"/>
      <c r="F385" s="16" t="s">
        <v>13</v>
      </c>
      <c r="G385" s="16" t="s">
        <v>13</v>
      </c>
      <c r="H385" s="75" t="s">
        <v>353</v>
      </c>
      <c r="I385" s="136">
        <v>0</v>
      </c>
      <c r="J385" s="17" t="s">
        <v>79</v>
      </c>
      <c r="K385" s="142">
        <v>46310</v>
      </c>
      <c r="L385" s="142">
        <v>46371</v>
      </c>
      <c r="M385" s="76"/>
      <c r="N385" s="77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  <c r="AQ385" s="86"/>
      <c r="AR385" s="86"/>
      <c r="AS385" s="86"/>
      <c r="AT385" s="86"/>
      <c r="AU385" s="86"/>
      <c r="AV385" s="87"/>
      <c r="AW385" s="87"/>
      <c r="AX385" s="87"/>
      <c r="AY385" s="87"/>
      <c r="AZ385" s="87"/>
      <c r="BA385" s="87"/>
      <c r="BB385" s="87"/>
      <c r="BC385" s="86"/>
      <c r="BD385" s="86"/>
      <c r="BE385" s="86"/>
      <c r="BF385" s="86"/>
      <c r="BG385" s="86"/>
      <c r="BH385" s="86"/>
      <c r="BI385" s="86"/>
      <c r="BJ385" s="86"/>
      <c r="BK385" s="86"/>
      <c r="BL385" s="86"/>
      <c r="BM385" s="86"/>
      <c r="BN385" s="86"/>
      <c r="BO385" s="86"/>
      <c r="BP385" s="86"/>
      <c r="BQ385" s="86"/>
      <c r="BR385" s="86"/>
      <c r="BS385" s="86"/>
      <c r="BT385" s="86"/>
      <c r="BU385" s="86"/>
      <c r="BV385" s="86"/>
      <c r="BW385" s="86"/>
      <c r="BX385" s="86"/>
      <c r="BY385" s="86"/>
      <c r="BZ385" s="86"/>
      <c r="CA385" s="86"/>
      <c r="CB385" s="86"/>
      <c r="CC385" s="86"/>
      <c r="CD385" s="86"/>
      <c r="CE385" s="86"/>
      <c r="CF385" s="88"/>
    </row>
    <row r="386" spans="1:84" ht="15.75" x14ac:dyDescent="0.25">
      <c r="A386" s="149" t="s">
        <v>327</v>
      </c>
      <c r="B386" s="150" t="s">
        <v>557</v>
      </c>
      <c r="C386" s="84"/>
      <c r="D386" s="94" t="s">
        <v>558</v>
      </c>
      <c r="E386" s="150"/>
      <c r="F386" s="16" t="s">
        <v>13</v>
      </c>
      <c r="G386" s="16" t="s">
        <v>13</v>
      </c>
      <c r="H386" s="75" t="s">
        <v>353</v>
      </c>
      <c r="I386" s="136">
        <v>0</v>
      </c>
      <c r="J386" s="17" t="s">
        <v>79</v>
      </c>
      <c r="K386" s="142">
        <v>46310</v>
      </c>
      <c r="L386" s="142">
        <v>46371</v>
      </c>
      <c r="M386" s="76"/>
      <c r="N386" s="77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  <c r="AQ386" s="86"/>
      <c r="AR386" s="86"/>
      <c r="AS386" s="86"/>
      <c r="AT386" s="86"/>
      <c r="AU386" s="87"/>
      <c r="AV386" s="87"/>
      <c r="AW386" s="87"/>
      <c r="AX386" s="87"/>
      <c r="AY386" s="87"/>
      <c r="AZ386" s="87"/>
      <c r="BA386" s="87"/>
      <c r="BB386" s="87"/>
      <c r="BC386" s="86"/>
      <c r="BD386" s="86"/>
      <c r="BE386" s="86"/>
      <c r="BF386" s="86"/>
      <c r="BG386" s="86"/>
      <c r="BH386" s="86"/>
      <c r="BI386" s="86"/>
      <c r="BJ386" s="86"/>
      <c r="BK386" s="86"/>
      <c r="BL386" s="86"/>
      <c r="BM386" s="86"/>
      <c r="BN386" s="86"/>
      <c r="BO386" s="86"/>
      <c r="BP386" s="86"/>
      <c r="BQ386" s="86"/>
      <c r="BR386" s="86"/>
      <c r="BS386" s="86"/>
      <c r="BT386" s="86"/>
      <c r="BU386" s="86"/>
      <c r="BV386" s="86"/>
      <c r="BW386" s="86"/>
      <c r="BX386" s="86"/>
      <c r="BY386" s="86"/>
      <c r="BZ386" s="86"/>
      <c r="CA386" s="86"/>
      <c r="CB386" s="86"/>
      <c r="CC386" s="86"/>
      <c r="CD386" s="86"/>
      <c r="CE386" s="86"/>
      <c r="CF386" s="88"/>
    </row>
    <row r="387" spans="1:84" ht="15.75" x14ac:dyDescent="0.25">
      <c r="A387" s="149" t="s">
        <v>327</v>
      </c>
      <c r="B387" s="150" t="s">
        <v>559</v>
      </c>
      <c r="C387" s="84"/>
      <c r="D387" s="94" t="s">
        <v>560</v>
      </c>
      <c r="E387" s="150"/>
      <c r="F387" s="16" t="s">
        <v>13</v>
      </c>
      <c r="G387" s="16" t="s">
        <v>13</v>
      </c>
      <c r="H387" s="75" t="s">
        <v>353</v>
      </c>
      <c r="I387" s="136">
        <v>0</v>
      </c>
      <c r="J387" s="17" t="s">
        <v>79</v>
      </c>
      <c r="K387" s="142">
        <v>46310</v>
      </c>
      <c r="L387" s="142">
        <v>46371</v>
      </c>
      <c r="M387" s="76"/>
      <c r="N387" s="77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  <c r="AQ387" s="86"/>
      <c r="AR387" s="86"/>
      <c r="AS387" s="86"/>
      <c r="AT387" s="86"/>
      <c r="AU387" s="87"/>
      <c r="AV387" s="87"/>
      <c r="AW387" s="87"/>
      <c r="AX387" s="87"/>
      <c r="AY387" s="87"/>
      <c r="AZ387" s="87"/>
      <c r="BA387" s="87"/>
      <c r="BB387" s="87"/>
      <c r="BC387" s="86"/>
      <c r="BD387" s="86"/>
      <c r="BE387" s="86"/>
      <c r="BF387" s="86"/>
      <c r="BG387" s="86"/>
      <c r="BH387" s="86"/>
      <c r="BI387" s="86"/>
      <c r="BJ387" s="86"/>
      <c r="BK387" s="86"/>
      <c r="BL387" s="86"/>
      <c r="BM387" s="86"/>
      <c r="BN387" s="86"/>
      <c r="BO387" s="86"/>
      <c r="BP387" s="86"/>
      <c r="BQ387" s="86"/>
      <c r="BR387" s="86"/>
      <c r="BS387" s="86"/>
      <c r="BT387" s="86"/>
      <c r="BU387" s="86"/>
      <c r="BV387" s="86"/>
      <c r="BW387" s="86"/>
      <c r="BX387" s="86"/>
      <c r="BY387" s="86"/>
      <c r="BZ387" s="86"/>
      <c r="CA387" s="86"/>
      <c r="CB387" s="86"/>
      <c r="CC387" s="86"/>
      <c r="CD387" s="86"/>
      <c r="CE387" s="86"/>
      <c r="CF387" s="88"/>
    </row>
    <row r="388" spans="1:84" ht="15.75" x14ac:dyDescent="0.25">
      <c r="A388" s="149" t="s">
        <v>327</v>
      </c>
      <c r="B388" s="150" t="s">
        <v>561</v>
      </c>
      <c r="C388" s="73"/>
      <c r="D388" s="69" t="s">
        <v>352</v>
      </c>
      <c r="E388" s="150"/>
      <c r="F388" s="16" t="s">
        <v>13</v>
      </c>
      <c r="G388" s="16" t="s">
        <v>13</v>
      </c>
      <c r="H388" s="75" t="s">
        <v>353</v>
      </c>
      <c r="I388" s="75"/>
      <c r="J388" s="17" t="s">
        <v>79</v>
      </c>
      <c r="K388" s="142">
        <v>46371</v>
      </c>
      <c r="L388" s="142">
        <v>46402</v>
      </c>
      <c r="M388" s="76"/>
      <c r="N388" s="77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78"/>
      <c r="AZ388" s="78"/>
      <c r="BA388" s="78"/>
      <c r="BB388" s="78"/>
      <c r="BC388" s="93"/>
      <c r="BD388" s="93"/>
      <c r="BE388" s="93"/>
      <c r="BF388" s="93"/>
      <c r="BG388" s="78"/>
      <c r="BH388" s="78"/>
      <c r="BI388" s="78"/>
      <c r="BJ388" s="78"/>
      <c r="BK388" s="78"/>
      <c r="BL388" s="78"/>
      <c r="BM388" s="78"/>
      <c r="BN388" s="78"/>
      <c r="BO388" s="78"/>
      <c r="BP388" s="78"/>
      <c r="BQ388" s="78"/>
      <c r="BR388" s="78"/>
      <c r="BS388" s="78"/>
      <c r="BT388" s="78"/>
      <c r="BU388" s="78"/>
      <c r="BV388" s="78"/>
      <c r="BW388" s="78"/>
      <c r="BX388" s="78"/>
      <c r="BY388" s="78"/>
      <c r="BZ388" s="78"/>
      <c r="CA388" s="78"/>
      <c r="CB388" s="78"/>
      <c r="CC388" s="78"/>
      <c r="CD388" s="78"/>
      <c r="CE388" s="78"/>
      <c r="CF388" s="80"/>
    </row>
    <row r="389" spans="1:84" ht="15.75" x14ac:dyDescent="0.25">
      <c r="A389" s="149" t="s">
        <v>327</v>
      </c>
      <c r="B389" s="150" t="s">
        <v>562</v>
      </c>
      <c r="C389" s="84"/>
      <c r="D389" s="94" t="s">
        <v>544</v>
      </c>
      <c r="E389" s="150"/>
      <c r="F389" s="16" t="s">
        <v>13</v>
      </c>
      <c r="G389" s="16" t="s">
        <v>13</v>
      </c>
      <c r="H389" s="75" t="s">
        <v>353</v>
      </c>
      <c r="I389" s="75"/>
      <c r="J389" s="17" t="s">
        <v>79</v>
      </c>
      <c r="K389" s="142">
        <v>46371</v>
      </c>
      <c r="L389" s="142">
        <v>46402</v>
      </c>
      <c r="M389" s="76"/>
      <c r="N389" s="77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  <c r="AQ389" s="86"/>
      <c r="AR389" s="86"/>
      <c r="AS389" s="86"/>
      <c r="AT389" s="86"/>
      <c r="AU389" s="86"/>
      <c r="AV389" s="86"/>
      <c r="AW389" s="86"/>
      <c r="AX389" s="86"/>
      <c r="AY389" s="86"/>
      <c r="AZ389" s="86"/>
      <c r="BA389" s="86"/>
      <c r="BB389" s="86"/>
      <c r="BC389" s="87"/>
      <c r="BD389" s="87"/>
      <c r="BE389" s="87"/>
      <c r="BF389" s="87"/>
      <c r="BG389" s="86"/>
      <c r="BH389" s="86"/>
      <c r="BI389" s="86"/>
      <c r="BJ389" s="86"/>
      <c r="BK389" s="86"/>
      <c r="BL389" s="86"/>
      <c r="BM389" s="86"/>
      <c r="BN389" s="86"/>
      <c r="BO389" s="86"/>
      <c r="BP389" s="86"/>
      <c r="BQ389" s="86"/>
      <c r="BR389" s="86"/>
      <c r="BS389" s="86"/>
      <c r="BT389" s="86"/>
      <c r="BU389" s="86"/>
      <c r="BV389" s="86"/>
      <c r="BW389" s="86"/>
      <c r="BX389" s="86"/>
      <c r="BY389" s="86"/>
      <c r="BZ389" s="86"/>
      <c r="CA389" s="86"/>
      <c r="CB389" s="86"/>
      <c r="CC389" s="86"/>
      <c r="CD389" s="86"/>
      <c r="CE389" s="86"/>
      <c r="CF389" s="88"/>
    </row>
    <row r="390" spans="1:84" ht="15.75" x14ac:dyDescent="0.25">
      <c r="A390" s="149" t="s">
        <v>327</v>
      </c>
      <c r="B390" s="150" t="s">
        <v>563</v>
      </c>
      <c r="C390" s="96"/>
      <c r="D390" s="95" t="s">
        <v>546</v>
      </c>
      <c r="E390" s="150"/>
      <c r="F390" s="16" t="s">
        <v>13</v>
      </c>
      <c r="G390" s="16" t="s">
        <v>13</v>
      </c>
      <c r="H390" s="75" t="s">
        <v>353</v>
      </c>
      <c r="I390" s="136">
        <v>0</v>
      </c>
      <c r="J390" s="17" t="s">
        <v>79</v>
      </c>
      <c r="K390" s="142">
        <v>46371</v>
      </c>
      <c r="L390" s="142">
        <v>46402</v>
      </c>
      <c r="M390" s="76"/>
      <c r="N390" s="77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  <c r="AQ390" s="86"/>
      <c r="AR390" s="86"/>
      <c r="AS390" s="86"/>
      <c r="AT390" s="86"/>
      <c r="AU390" s="86"/>
      <c r="AV390" s="86"/>
      <c r="AW390" s="86"/>
      <c r="AX390" s="86"/>
      <c r="AY390" s="86"/>
      <c r="AZ390" s="86"/>
      <c r="BA390" s="86"/>
      <c r="BB390" s="86"/>
      <c r="BC390" s="87"/>
      <c r="BD390" s="87"/>
      <c r="BE390" s="87"/>
      <c r="BF390" s="86"/>
      <c r="BG390" s="86"/>
      <c r="BH390" s="86"/>
      <c r="BI390" s="86"/>
      <c r="BJ390" s="86"/>
      <c r="BK390" s="86"/>
      <c r="BL390" s="86"/>
      <c r="BM390" s="86"/>
      <c r="BN390" s="86"/>
      <c r="BO390" s="86"/>
      <c r="BP390" s="86"/>
      <c r="BQ390" s="86"/>
      <c r="BR390" s="86"/>
      <c r="BS390" s="86"/>
      <c r="BT390" s="86"/>
      <c r="BU390" s="86"/>
      <c r="BV390" s="86"/>
      <c r="BW390" s="86"/>
      <c r="BX390" s="86"/>
      <c r="BY390" s="86"/>
      <c r="BZ390" s="86"/>
      <c r="CA390" s="86"/>
      <c r="CB390" s="86"/>
      <c r="CC390" s="86"/>
      <c r="CD390" s="86"/>
      <c r="CE390" s="86"/>
      <c r="CF390" s="88"/>
    </row>
    <row r="391" spans="1:84" ht="15.75" x14ac:dyDescent="0.25">
      <c r="A391" s="149" t="s">
        <v>327</v>
      </c>
      <c r="B391" s="150" t="s">
        <v>564</v>
      </c>
      <c r="C391" s="96"/>
      <c r="D391" s="95" t="s">
        <v>548</v>
      </c>
      <c r="E391" s="150"/>
      <c r="F391" s="16" t="s">
        <v>13</v>
      </c>
      <c r="G391" s="16" t="s">
        <v>13</v>
      </c>
      <c r="H391" s="75" t="s">
        <v>353</v>
      </c>
      <c r="I391" s="136">
        <v>0</v>
      </c>
      <c r="J391" s="17" t="s">
        <v>79</v>
      </c>
      <c r="K391" s="142">
        <v>46371</v>
      </c>
      <c r="L391" s="142">
        <v>46387</v>
      </c>
      <c r="M391" s="76"/>
      <c r="N391" s="77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  <c r="AQ391" s="86"/>
      <c r="AR391" s="86"/>
      <c r="AS391" s="86"/>
      <c r="AT391" s="86"/>
      <c r="AU391" s="86"/>
      <c r="AV391" s="86"/>
      <c r="AW391" s="86"/>
      <c r="AX391" s="86"/>
      <c r="AY391" s="86"/>
      <c r="AZ391" s="86"/>
      <c r="BA391" s="86"/>
      <c r="BB391" s="86"/>
      <c r="BC391" s="87"/>
      <c r="BD391" s="87"/>
      <c r="BE391" s="86"/>
      <c r="BF391" s="86"/>
      <c r="BG391" s="86"/>
      <c r="BH391" s="86"/>
      <c r="BI391" s="86"/>
      <c r="BJ391" s="86"/>
      <c r="BK391" s="86"/>
      <c r="BL391" s="86"/>
      <c r="BM391" s="86"/>
      <c r="BN391" s="86"/>
      <c r="BO391" s="86"/>
      <c r="BP391" s="86"/>
      <c r="BQ391" s="86"/>
      <c r="BR391" s="86"/>
      <c r="BS391" s="86"/>
      <c r="BT391" s="86"/>
      <c r="BU391" s="86"/>
      <c r="BV391" s="86"/>
      <c r="BW391" s="86"/>
      <c r="BX391" s="86"/>
      <c r="BY391" s="86"/>
      <c r="BZ391" s="86"/>
      <c r="CA391" s="86"/>
      <c r="CB391" s="86"/>
      <c r="CC391" s="86"/>
      <c r="CD391" s="86"/>
      <c r="CE391" s="86"/>
      <c r="CF391" s="88"/>
    </row>
    <row r="392" spans="1:84" ht="15.75" x14ac:dyDescent="0.25">
      <c r="A392" s="149" t="s">
        <v>327</v>
      </c>
      <c r="B392" s="150" t="s">
        <v>565</v>
      </c>
      <c r="C392" s="96"/>
      <c r="D392" s="95" t="s">
        <v>550</v>
      </c>
      <c r="E392" s="150"/>
      <c r="F392" s="16" t="s">
        <v>13</v>
      </c>
      <c r="G392" s="16" t="s">
        <v>13</v>
      </c>
      <c r="H392" s="75" t="s">
        <v>353</v>
      </c>
      <c r="I392" s="136">
        <v>0</v>
      </c>
      <c r="J392" s="17" t="s">
        <v>79</v>
      </c>
      <c r="K392" s="142">
        <v>46371</v>
      </c>
      <c r="L392" s="142">
        <v>46387</v>
      </c>
      <c r="M392" s="76"/>
      <c r="N392" s="77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  <c r="AQ392" s="86"/>
      <c r="AR392" s="86"/>
      <c r="AS392" s="86"/>
      <c r="AT392" s="86"/>
      <c r="AU392" s="86"/>
      <c r="AV392" s="86"/>
      <c r="AW392" s="86"/>
      <c r="AX392" s="86"/>
      <c r="AY392" s="86"/>
      <c r="AZ392" s="86"/>
      <c r="BA392" s="86"/>
      <c r="BB392" s="86"/>
      <c r="BC392" s="87"/>
      <c r="BD392" s="87"/>
      <c r="BE392" s="86"/>
      <c r="BF392" s="86"/>
      <c r="BG392" s="86"/>
      <c r="BH392" s="86"/>
      <c r="BI392" s="86"/>
      <c r="BJ392" s="86"/>
      <c r="BK392" s="86"/>
      <c r="BL392" s="86"/>
      <c r="BM392" s="86"/>
      <c r="BN392" s="86"/>
      <c r="BO392" s="86"/>
      <c r="BP392" s="86"/>
      <c r="BQ392" s="86"/>
      <c r="BR392" s="86"/>
      <c r="BS392" s="86"/>
      <c r="BT392" s="86"/>
      <c r="BU392" s="86"/>
      <c r="BV392" s="86"/>
      <c r="BW392" s="86"/>
      <c r="BX392" s="86"/>
      <c r="BY392" s="86"/>
      <c r="BZ392" s="86"/>
      <c r="CA392" s="86"/>
      <c r="CB392" s="86"/>
      <c r="CC392" s="86"/>
      <c r="CD392" s="86"/>
      <c r="CE392" s="86"/>
      <c r="CF392" s="88"/>
    </row>
    <row r="393" spans="1:84" ht="15.75" x14ac:dyDescent="0.25">
      <c r="A393" s="149" t="s">
        <v>327</v>
      </c>
      <c r="B393" s="150" t="s">
        <v>566</v>
      </c>
      <c r="C393" s="96"/>
      <c r="D393" s="95" t="s">
        <v>552</v>
      </c>
      <c r="E393" s="150"/>
      <c r="F393" s="16" t="s">
        <v>13</v>
      </c>
      <c r="G393" s="16" t="s">
        <v>13</v>
      </c>
      <c r="H393" s="75" t="s">
        <v>353</v>
      </c>
      <c r="I393" s="136">
        <v>0</v>
      </c>
      <c r="J393" s="17" t="s">
        <v>79</v>
      </c>
      <c r="K393" s="142">
        <v>46371</v>
      </c>
      <c r="L393" s="142">
        <v>46387</v>
      </c>
      <c r="M393" s="76"/>
      <c r="N393" s="77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  <c r="AQ393" s="86"/>
      <c r="AR393" s="86"/>
      <c r="AS393" s="86"/>
      <c r="AT393" s="86"/>
      <c r="AU393" s="86"/>
      <c r="AV393" s="86"/>
      <c r="AW393" s="86"/>
      <c r="AX393" s="86"/>
      <c r="AY393" s="86"/>
      <c r="AZ393" s="86"/>
      <c r="BA393" s="86"/>
      <c r="BB393" s="86"/>
      <c r="BC393" s="87"/>
      <c r="BD393" s="87"/>
      <c r="BE393" s="86"/>
      <c r="BF393" s="86"/>
      <c r="BG393" s="86"/>
      <c r="BH393" s="86"/>
      <c r="BI393" s="86"/>
      <c r="BJ393" s="86"/>
      <c r="BK393" s="86"/>
      <c r="BL393" s="86"/>
      <c r="BM393" s="86"/>
      <c r="BN393" s="86"/>
      <c r="BO393" s="86"/>
      <c r="BP393" s="86"/>
      <c r="BQ393" s="86"/>
      <c r="BR393" s="86"/>
      <c r="BS393" s="86"/>
      <c r="BT393" s="86"/>
      <c r="BU393" s="86"/>
      <c r="BV393" s="86"/>
      <c r="BW393" s="86"/>
      <c r="BX393" s="86"/>
      <c r="BY393" s="86"/>
      <c r="BZ393" s="86"/>
      <c r="CA393" s="86"/>
      <c r="CB393" s="86"/>
      <c r="CC393" s="86"/>
      <c r="CD393" s="86"/>
      <c r="CE393" s="86"/>
      <c r="CF393" s="88"/>
    </row>
    <row r="394" spans="1:84" ht="15.75" x14ac:dyDescent="0.25">
      <c r="A394" s="149" t="s">
        <v>327</v>
      </c>
      <c r="B394" s="150" t="s">
        <v>567</v>
      </c>
      <c r="C394" s="96"/>
      <c r="D394" s="95" t="s">
        <v>554</v>
      </c>
      <c r="E394" s="150"/>
      <c r="F394" s="16" t="s">
        <v>13</v>
      </c>
      <c r="G394" s="16" t="s">
        <v>13</v>
      </c>
      <c r="H394" s="75" t="s">
        <v>353</v>
      </c>
      <c r="I394" s="136">
        <v>0</v>
      </c>
      <c r="J394" s="17" t="s">
        <v>79</v>
      </c>
      <c r="K394" s="142">
        <v>46371</v>
      </c>
      <c r="L394" s="142">
        <v>46402</v>
      </c>
      <c r="M394" s="76"/>
      <c r="N394" s="77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  <c r="AQ394" s="86"/>
      <c r="AR394" s="86"/>
      <c r="AS394" s="86"/>
      <c r="AT394" s="86"/>
      <c r="AU394" s="86"/>
      <c r="AV394" s="86"/>
      <c r="AW394" s="86"/>
      <c r="AX394" s="86"/>
      <c r="AY394" s="86"/>
      <c r="AZ394" s="86"/>
      <c r="BA394" s="86"/>
      <c r="BB394" s="86"/>
      <c r="BC394" s="87"/>
      <c r="BD394" s="87"/>
      <c r="BE394" s="87"/>
      <c r="BF394" s="87"/>
      <c r="BG394" s="86"/>
      <c r="BH394" s="86"/>
      <c r="BI394" s="86"/>
      <c r="BJ394" s="86"/>
      <c r="BK394" s="86"/>
      <c r="BL394" s="86"/>
      <c r="BM394" s="86"/>
      <c r="BN394" s="86"/>
      <c r="BO394" s="86"/>
      <c r="BP394" s="86"/>
      <c r="BQ394" s="86"/>
      <c r="BR394" s="86"/>
      <c r="BS394" s="86"/>
      <c r="BT394" s="86"/>
      <c r="BU394" s="86"/>
      <c r="BV394" s="86"/>
      <c r="BW394" s="86"/>
      <c r="BX394" s="86"/>
      <c r="BY394" s="86"/>
      <c r="BZ394" s="86"/>
      <c r="CA394" s="86"/>
      <c r="CB394" s="86"/>
      <c r="CC394" s="86"/>
      <c r="CD394" s="86"/>
      <c r="CE394" s="86"/>
      <c r="CF394" s="88"/>
    </row>
    <row r="395" spans="1:84" ht="15.75" x14ac:dyDescent="0.25">
      <c r="A395" s="149" t="s">
        <v>327</v>
      </c>
      <c r="B395" s="150" t="s">
        <v>568</v>
      </c>
      <c r="C395" s="96"/>
      <c r="D395" s="95" t="s">
        <v>556</v>
      </c>
      <c r="E395" s="150"/>
      <c r="F395" s="16" t="s">
        <v>13</v>
      </c>
      <c r="G395" s="16" t="s">
        <v>13</v>
      </c>
      <c r="H395" s="75" t="s">
        <v>353</v>
      </c>
      <c r="I395" s="136">
        <v>0</v>
      </c>
      <c r="J395" s="17" t="s">
        <v>79</v>
      </c>
      <c r="K395" s="142">
        <v>46371</v>
      </c>
      <c r="L395" s="142">
        <v>46402</v>
      </c>
      <c r="M395" s="76"/>
      <c r="N395" s="77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  <c r="AQ395" s="86"/>
      <c r="AR395" s="86"/>
      <c r="AS395" s="86"/>
      <c r="AT395" s="86"/>
      <c r="AU395" s="86"/>
      <c r="AV395" s="86"/>
      <c r="AW395" s="86"/>
      <c r="AX395" s="86"/>
      <c r="AY395" s="86"/>
      <c r="AZ395" s="86"/>
      <c r="BA395" s="86"/>
      <c r="BB395" s="86"/>
      <c r="BC395" s="87"/>
      <c r="BD395" s="87"/>
      <c r="BE395" s="87"/>
      <c r="BF395" s="87"/>
      <c r="BG395" s="86"/>
      <c r="BH395" s="86"/>
      <c r="BI395" s="86"/>
      <c r="BJ395" s="86"/>
      <c r="BK395" s="86"/>
      <c r="BL395" s="86"/>
      <c r="BM395" s="86"/>
      <c r="BN395" s="86"/>
      <c r="BO395" s="86"/>
      <c r="BP395" s="86"/>
      <c r="BQ395" s="86"/>
      <c r="BR395" s="86"/>
      <c r="BS395" s="86"/>
      <c r="BT395" s="86"/>
      <c r="BU395" s="86"/>
      <c r="BV395" s="86"/>
      <c r="BW395" s="86"/>
      <c r="BX395" s="86"/>
      <c r="BY395" s="86"/>
      <c r="BZ395" s="86"/>
      <c r="CA395" s="86"/>
      <c r="CB395" s="86"/>
      <c r="CC395" s="86"/>
      <c r="CD395" s="86"/>
      <c r="CE395" s="86"/>
      <c r="CF395" s="88"/>
    </row>
    <row r="396" spans="1:84" ht="15.75" x14ac:dyDescent="0.25">
      <c r="A396" s="149" t="s">
        <v>327</v>
      </c>
      <c r="B396" s="150" t="s">
        <v>569</v>
      </c>
      <c r="C396" s="84"/>
      <c r="D396" s="94" t="s">
        <v>558</v>
      </c>
      <c r="E396" s="150"/>
      <c r="F396" s="16" t="s">
        <v>13</v>
      </c>
      <c r="G396" s="16" t="s">
        <v>13</v>
      </c>
      <c r="H396" s="75" t="s">
        <v>353</v>
      </c>
      <c r="I396" s="136">
        <v>0</v>
      </c>
      <c r="J396" s="17" t="s">
        <v>79</v>
      </c>
      <c r="K396" s="142">
        <v>46371</v>
      </c>
      <c r="L396" s="142">
        <v>46402</v>
      </c>
      <c r="M396" s="76"/>
      <c r="N396" s="77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  <c r="AQ396" s="86"/>
      <c r="AR396" s="86"/>
      <c r="AS396" s="86"/>
      <c r="AT396" s="86"/>
      <c r="AU396" s="86"/>
      <c r="AV396" s="86"/>
      <c r="AW396" s="86"/>
      <c r="AX396" s="86"/>
      <c r="AY396" s="86"/>
      <c r="AZ396" s="86"/>
      <c r="BA396" s="86"/>
      <c r="BB396" s="86"/>
      <c r="BC396" s="87"/>
      <c r="BD396" s="87"/>
      <c r="BE396" s="87"/>
      <c r="BF396" s="87"/>
      <c r="BG396" s="86"/>
      <c r="BH396" s="86"/>
      <c r="BI396" s="86"/>
      <c r="BJ396" s="86"/>
      <c r="BK396" s="86"/>
      <c r="BL396" s="86"/>
      <c r="BM396" s="86"/>
      <c r="BN396" s="86"/>
      <c r="BO396" s="86"/>
      <c r="BP396" s="86"/>
      <c r="BQ396" s="86"/>
      <c r="BR396" s="86"/>
      <c r="BS396" s="86"/>
      <c r="BT396" s="86"/>
      <c r="BU396" s="86"/>
      <c r="BV396" s="86"/>
      <c r="BW396" s="86"/>
      <c r="BX396" s="86"/>
      <c r="BY396" s="86"/>
      <c r="BZ396" s="86"/>
      <c r="CA396" s="86"/>
      <c r="CB396" s="86"/>
      <c r="CC396" s="86"/>
      <c r="CD396" s="86"/>
      <c r="CE396" s="86"/>
      <c r="CF396" s="88"/>
    </row>
    <row r="397" spans="1:84" ht="15.75" x14ac:dyDescent="0.25">
      <c r="A397" s="149" t="s">
        <v>327</v>
      </c>
      <c r="B397" s="150" t="s">
        <v>570</v>
      </c>
      <c r="C397" s="84"/>
      <c r="D397" s="94" t="s">
        <v>560</v>
      </c>
      <c r="E397" s="150"/>
      <c r="F397" s="16" t="s">
        <v>13</v>
      </c>
      <c r="G397" s="16" t="s">
        <v>13</v>
      </c>
      <c r="H397" s="75" t="s">
        <v>353</v>
      </c>
      <c r="I397" s="136">
        <v>0</v>
      </c>
      <c r="J397" s="17" t="s">
        <v>79</v>
      </c>
      <c r="K397" s="142">
        <v>46371</v>
      </c>
      <c r="L397" s="142">
        <v>46402</v>
      </c>
      <c r="M397" s="76"/>
      <c r="N397" s="77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  <c r="AQ397" s="86"/>
      <c r="AR397" s="86"/>
      <c r="AS397" s="86"/>
      <c r="AT397" s="86"/>
      <c r="AU397" s="86"/>
      <c r="AV397" s="86"/>
      <c r="AW397" s="86"/>
      <c r="AX397" s="86"/>
      <c r="AY397" s="86"/>
      <c r="AZ397" s="86"/>
      <c r="BA397" s="86"/>
      <c r="BB397" s="86"/>
      <c r="BC397" s="87"/>
      <c r="BD397" s="87"/>
      <c r="BE397" s="87"/>
      <c r="BF397" s="87"/>
      <c r="BG397" s="86"/>
      <c r="BH397" s="86"/>
      <c r="BI397" s="86"/>
      <c r="BJ397" s="86"/>
      <c r="BK397" s="86"/>
      <c r="BL397" s="86"/>
      <c r="BM397" s="86"/>
      <c r="BN397" s="86"/>
      <c r="BO397" s="86"/>
      <c r="BP397" s="86"/>
      <c r="BQ397" s="86"/>
      <c r="BR397" s="86"/>
      <c r="BS397" s="86"/>
      <c r="BT397" s="86"/>
      <c r="BU397" s="86"/>
      <c r="BV397" s="86"/>
      <c r="BW397" s="86"/>
      <c r="BX397" s="86"/>
      <c r="BY397" s="86"/>
      <c r="BZ397" s="86"/>
      <c r="CA397" s="86"/>
      <c r="CB397" s="86"/>
      <c r="CC397" s="86"/>
      <c r="CD397" s="86"/>
      <c r="CE397" s="86"/>
      <c r="CF397" s="88"/>
    </row>
    <row r="398" spans="1:84" ht="15.75" x14ac:dyDescent="0.25">
      <c r="A398" s="149" t="s">
        <v>327</v>
      </c>
      <c r="B398" s="150" t="s">
        <v>571</v>
      </c>
      <c r="C398" s="73"/>
      <c r="D398" s="74" t="s">
        <v>362</v>
      </c>
      <c r="E398" s="150"/>
      <c r="F398" s="16" t="s">
        <v>13</v>
      </c>
      <c r="G398" s="16" t="s">
        <v>13</v>
      </c>
      <c r="H398" s="75" t="s">
        <v>353</v>
      </c>
      <c r="I398" s="136">
        <v>0</v>
      </c>
      <c r="J398" s="17" t="s">
        <v>79</v>
      </c>
      <c r="K398" s="142">
        <v>46388</v>
      </c>
      <c r="L398" s="142">
        <v>46402</v>
      </c>
      <c r="M398" s="76"/>
      <c r="N398" s="77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  <c r="AY398" s="78"/>
      <c r="AZ398" s="78"/>
      <c r="BA398" s="78"/>
      <c r="BB398" s="78"/>
      <c r="BC398" s="78"/>
      <c r="BD398" s="78"/>
      <c r="BE398" s="78"/>
      <c r="BF398" s="79"/>
      <c r="BG398" s="78"/>
      <c r="BH398" s="78"/>
      <c r="BI398" s="78"/>
      <c r="BJ398" s="78"/>
      <c r="BK398" s="78"/>
      <c r="BL398" s="78"/>
      <c r="BM398" s="78"/>
      <c r="BN398" s="78"/>
      <c r="BO398" s="78"/>
      <c r="BP398" s="78"/>
      <c r="BQ398" s="78"/>
      <c r="BR398" s="78"/>
      <c r="BS398" s="78"/>
      <c r="BT398" s="78"/>
      <c r="BU398" s="78"/>
      <c r="BV398" s="78"/>
      <c r="BW398" s="78"/>
      <c r="BX398" s="78"/>
      <c r="BY398" s="78"/>
      <c r="BZ398" s="78"/>
      <c r="CA398" s="78"/>
      <c r="CB398" s="78"/>
      <c r="CC398" s="78"/>
      <c r="CD398" s="78"/>
      <c r="CE398" s="78"/>
      <c r="CF398" s="80"/>
    </row>
    <row r="399" spans="1:84" ht="15.75" x14ac:dyDescent="0.25">
      <c r="A399" s="149" t="s">
        <v>327</v>
      </c>
      <c r="B399" s="150" t="s">
        <v>572</v>
      </c>
      <c r="C399" s="73"/>
      <c r="D399" s="69" t="s">
        <v>364</v>
      </c>
      <c r="E399" s="150"/>
      <c r="F399" s="16" t="s">
        <v>13</v>
      </c>
      <c r="G399" s="16" t="s">
        <v>13</v>
      </c>
      <c r="H399" s="75" t="s">
        <v>353</v>
      </c>
      <c r="I399" s="75"/>
      <c r="J399" s="17" t="s">
        <v>79</v>
      </c>
      <c r="K399" s="142">
        <v>46402</v>
      </c>
      <c r="L399" s="142">
        <v>46433</v>
      </c>
      <c r="M399" s="76"/>
      <c r="N399" s="77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78"/>
      <c r="AZ399" s="78"/>
      <c r="BA399" s="78"/>
      <c r="BB399" s="78"/>
      <c r="BC399" s="78"/>
      <c r="BD399" s="78"/>
      <c r="BE399" s="78"/>
      <c r="BF399" s="78"/>
      <c r="BG399" s="93"/>
      <c r="BH399" s="93"/>
      <c r="BI399" s="93"/>
      <c r="BJ399" s="93"/>
      <c r="BK399" s="78"/>
      <c r="BL399" s="78"/>
      <c r="BM399" s="78"/>
      <c r="BN399" s="78"/>
      <c r="BO399" s="78"/>
      <c r="BP399" s="78"/>
      <c r="BQ399" s="78"/>
      <c r="BR399" s="78"/>
      <c r="BS399" s="78"/>
      <c r="BT399" s="78"/>
      <c r="BU399" s="78"/>
      <c r="BV399" s="78"/>
      <c r="BW399" s="78"/>
      <c r="BX399" s="78"/>
      <c r="BY399" s="78"/>
      <c r="BZ399" s="78"/>
      <c r="CA399" s="78"/>
      <c r="CB399" s="78"/>
      <c r="CC399" s="78"/>
      <c r="CD399" s="78"/>
      <c r="CE399" s="78"/>
      <c r="CF399" s="80"/>
    </row>
    <row r="400" spans="1:84" ht="15.75" x14ac:dyDescent="0.25">
      <c r="A400" s="149" t="s">
        <v>327</v>
      </c>
      <c r="B400" s="150" t="s">
        <v>573</v>
      </c>
      <c r="C400" s="84"/>
      <c r="D400" s="94" t="s">
        <v>544</v>
      </c>
      <c r="E400" s="150"/>
      <c r="F400" s="16" t="s">
        <v>13</v>
      </c>
      <c r="G400" s="16" t="s">
        <v>13</v>
      </c>
      <c r="H400" s="75" t="s">
        <v>353</v>
      </c>
      <c r="I400" s="75"/>
      <c r="J400" s="17" t="s">
        <v>79</v>
      </c>
      <c r="K400" s="142">
        <v>46402</v>
      </c>
      <c r="L400" s="142">
        <v>46433</v>
      </c>
      <c r="M400" s="76"/>
      <c r="N400" s="77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  <c r="AQ400" s="86"/>
      <c r="AR400" s="86"/>
      <c r="AS400" s="86"/>
      <c r="AT400" s="86"/>
      <c r="AU400" s="86"/>
      <c r="AV400" s="86"/>
      <c r="AW400" s="86"/>
      <c r="AX400" s="86"/>
      <c r="AY400" s="86"/>
      <c r="AZ400" s="86"/>
      <c r="BA400" s="86"/>
      <c r="BB400" s="86"/>
      <c r="BC400" s="86"/>
      <c r="BD400" s="86"/>
      <c r="BE400" s="86"/>
      <c r="BF400" s="86"/>
      <c r="BG400" s="87"/>
      <c r="BH400" s="87"/>
      <c r="BI400" s="87"/>
      <c r="BJ400" s="87"/>
      <c r="BK400" s="86"/>
      <c r="BL400" s="86"/>
      <c r="BM400" s="86"/>
      <c r="BN400" s="86"/>
      <c r="BO400" s="86"/>
      <c r="BP400" s="86"/>
      <c r="BQ400" s="86"/>
      <c r="BR400" s="86"/>
      <c r="BS400" s="86"/>
      <c r="BT400" s="86"/>
      <c r="BU400" s="86"/>
      <c r="BV400" s="86"/>
      <c r="BW400" s="86"/>
      <c r="BX400" s="86"/>
      <c r="BY400" s="86"/>
      <c r="BZ400" s="86"/>
      <c r="CA400" s="86"/>
      <c r="CB400" s="86"/>
      <c r="CC400" s="86"/>
      <c r="CD400" s="86"/>
      <c r="CE400" s="86"/>
      <c r="CF400" s="88"/>
    </row>
    <row r="401" spans="1:84" ht="15.75" x14ac:dyDescent="0.25">
      <c r="A401" s="149" t="s">
        <v>327</v>
      </c>
      <c r="B401" s="150" t="s">
        <v>574</v>
      </c>
      <c r="C401" s="96"/>
      <c r="D401" s="95" t="s">
        <v>546</v>
      </c>
      <c r="E401" s="150"/>
      <c r="F401" s="16" t="s">
        <v>13</v>
      </c>
      <c r="G401" s="16" t="s">
        <v>13</v>
      </c>
      <c r="H401" s="75" t="s">
        <v>353</v>
      </c>
      <c r="I401" s="136">
        <v>0</v>
      </c>
      <c r="J401" s="17" t="s">
        <v>79</v>
      </c>
      <c r="K401" s="142">
        <v>46402</v>
      </c>
      <c r="L401" s="142">
        <v>46433</v>
      </c>
      <c r="M401" s="76"/>
      <c r="N401" s="77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  <c r="AQ401" s="86"/>
      <c r="AR401" s="86"/>
      <c r="AS401" s="86"/>
      <c r="AT401" s="86"/>
      <c r="AU401" s="86"/>
      <c r="AV401" s="86"/>
      <c r="AW401" s="86"/>
      <c r="AX401" s="86"/>
      <c r="AY401" s="86"/>
      <c r="AZ401" s="86"/>
      <c r="BA401" s="86"/>
      <c r="BB401" s="86"/>
      <c r="BC401" s="86"/>
      <c r="BD401" s="86"/>
      <c r="BE401" s="86"/>
      <c r="BF401" s="86"/>
      <c r="BG401" s="87"/>
      <c r="BH401" s="87"/>
      <c r="BI401" s="87"/>
      <c r="BJ401" s="86"/>
      <c r="BK401" s="86"/>
      <c r="BL401" s="86"/>
      <c r="BM401" s="86"/>
      <c r="BN401" s="86"/>
      <c r="BO401" s="86"/>
      <c r="BP401" s="86"/>
      <c r="BQ401" s="86"/>
      <c r="BR401" s="86"/>
      <c r="BS401" s="86"/>
      <c r="BT401" s="86"/>
      <c r="BU401" s="86"/>
      <c r="BV401" s="86"/>
      <c r="BW401" s="86"/>
      <c r="BX401" s="86"/>
      <c r="BY401" s="86"/>
      <c r="BZ401" s="86"/>
      <c r="CA401" s="86"/>
      <c r="CB401" s="86"/>
      <c r="CC401" s="86"/>
      <c r="CD401" s="86"/>
      <c r="CE401" s="86"/>
      <c r="CF401" s="88"/>
    </row>
    <row r="402" spans="1:84" ht="15.75" x14ac:dyDescent="0.25">
      <c r="A402" s="149" t="s">
        <v>327</v>
      </c>
      <c r="B402" s="150" t="s">
        <v>575</v>
      </c>
      <c r="C402" s="96"/>
      <c r="D402" s="95" t="s">
        <v>548</v>
      </c>
      <c r="E402" s="150"/>
      <c r="F402" s="16" t="s">
        <v>13</v>
      </c>
      <c r="G402" s="16" t="s">
        <v>13</v>
      </c>
      <c r="H402" s="75" t="s">
        <v>353</v>
      </c>
      <c r="I402" s="136">
        <v>0</v>
      </c>
      <c r="J402" s="17" t="s">
        <v>79</v>
      </c>
      <c r="K402" s="142">
        <v>46402</v>
      </c>
      <c r="L402" s="142">
        <v>46418</v>
      </c>
      <c r="M402" s="76"/>
      <c r="N402" s="77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  <c r="AQ402" s="86"/>
      <c r="AR402" s="86"/>
      <c r="AS402" s="86"/>
      <c r="AT402" s="86"/>
      <c r="AU402" s="86"/>
      <c r="AV402" s="86"/>
      <c r="AW402" s="86"/>
      <c r="AX402" s="86"/>
      <c r="AY402" s="86"/>
      <c r="AZ402" s="86"/>
      <c r="BA402" s="86"/>
      <c r="BB402" s="86"/>
      <c r="BC402" s="86"/>
      <c r="BD402" s="86"/>
      <c r="BE402" s="86"/>
      <c r="BF402" s="86"/>
      <c r="BG402" s="87"/>
      <c r="BH402" s="87"/>
      <c r="BI402" s="86"/>
      <c r="BJ402" s="86"/>
      <c r="BK402" s="86"/>
      <c r="BL402" s="86"/>
      <c r="BM402" s="86"/>
      <c r="BN402" s="86"/>
      <c r="BO402" s="86"/>
      <c r="BP402" s="86"/>
      <c r="BQ402" s="86"/>
      <c r="BR402" s="86"/>
      <c r="BS402" s="86"/>
      <c r="BT402" s="86"/>
      <c r="BU402" s="86"/>
      <c r="BV402" s="86"/>
      <c r="BW402" s="86"/>
      <c r="BX402" s="86"/>
      <c r="BY402" s="86"/>
      <c r="BZ402" s="86"/>
      <c r="CA402" s="86"/>
      <c r="CB402" s="86"/>
      <c r="CC402" s="86"/>
      <c r="CD402" s="86"/>
      <c r="CE402" s="86"/>
      <c r="CF402" s="88"/>
    </row>
    <row r="403" spans="1:84" ht="15.75" x14ac:dyDescent="0.25">
      <c r="A403" s="149" t="s">
        <v>327</v>
      </c>
      <c r="B403" s="150" t="s">
        <v>576</v>
      </c>
      <c r="C403" s="96"/>
      <c r="D403" s="95" t="s">
        <v>550</v>
      </c>
      <c r="E403" s="150"/>
      <c r="F403" s="16" t="s">
        <v>13</v>
      </c>
      <c r="G403" s="16" t="s">
        <v>13</v>
      </c>
      <c r="H403" s="75" t="s">
        <v>353</v>
      </c>
      <c r="I403" s="136">
        <v>0</v>
      </c>
      <c r="J403" s="17" t="s">
        <v>79</v>
      </c>
      <c r="K403" s="142">
        <v>46402</v>
      </c>
      <c r="L403" s="142">
        <v>46418</v>
      </c>
      <c r="M403" s="76"/>
      <c r="N403" s="77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  <c r="AQ403" s="86"/>
      <c r="AR403" s="86"/>
      <c r="AS403" s="86"/>
      <c r="AT403" s="86"/>
      <c r="AU403" s="86"/>
      <c r="AV403" s="86"/>
      <c r="AW403" s="86"/>
      <c r="AX403" s="86"/>
      <c r="AY403" s="86"/>
      <c r="AZ403" s="86"/>
      <c r="BA403" s="86"/>
      <c r="BB403" s="86"/>
      <c r="BC403" s="86"/>
      <c r="BD403" s="86"/>
      <c r="BE403" s="86"/>
      <c r="BF403" s="86"/>
      <c r="BG403" s="87"/>
      <c r="BH403" s="87"/>
      <c r="BI403" s="86"/>
      <c r="BJ403" s="86"/>
      <c r="BK403" s="86"/>
      <c r="BL403" s="86"/>
      <c r="BM403" s="86"/>
      <c r="BN403" s="86"/>
      <c r="BO403" s="86"/>
      <c r="BP403" s="86"/>
      <c r="BQ403" s="86"/>
      <c r="BR403" s="86"/>
      <c r="BS403" s="86"/>
      <c r="BT403" s="86"/>
      <c r="BU403" s="86"/>
      <c r="BV403" s="86"/>
      <c r="BW403" s="86"/>
      <c r="BX403" s="86"/>
      <c r="BY403" s="86"/>
      <c r="BZ403" s="86"/>
      <c r="CA403" s="86"/>
      <c r="CB403" s="86"/>
      <c r="CC403" s="86"/>
      <c r="CD403" s="86"/>
      <c r="CE403" s="86"/>
      <c r="CF403" s="88"/>
    </row>
    <row r="404" spans="1:84" ht="15.75" x14ac:dyDescent="0.25">
      <c r="A404" s="149" t="s">
        <v>327</v>
      </c>
      <c r="B404" s="150" t="s">
        <v>577</v>
      </c>
      <c r="C404" s="96"/>
      <c r="D404" s="95" t="s">
        <v>552</v>
      </c>
      <c r="E404" s="150"/>
      <c r="F404" s="16" t="s">
        <v>13</v>
      </c>
      <c r="G404" s="16" t="s">
        <v>13</v>
      </c>
      <c r="H404" s="75" t="s">
        <v>353</v>
      </c>
      <c r="I404" s="136">
        <v>0</v>
      </c>
      <c r="J404" s="17" t="s">
        <v>79</v>
      </c>
      <c r="K404" s="142">
        <v>46402</v>
      </c>
      <c r="L404" s="142">
        <v>46418</v>
      </c>
      <c r="M404" s="76"/>
      <c r="N404" s="77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  <c r="AQ404" s="86"/>
      <c r="AR404" s="86"/>
      <c r="AS404" s="86"/>
      <c r="AT404" s="86"/>
      <c r="AU404" s="86"/>
      <c r="AV404" s="86"/>
      <c r="AW404" s="86"/>
      <c r="AX404" s="86"/>
      <c r="AY404" s="86"/>
      <c r="AZ404" s="86"/>
      <c r="BA404" s="86"/>
      <c r="BB404" s="86"/>
      <c r="BC404" s="86"/>
      <c r="BD404" s="86"/>
      <c r="BE404" s="86"/>
      <c r="BF404" s="86"/>
      <c r="BG404" s="87"/>
      <c r="BH404" s="87"/>
      <c r="BI404" s="86"/>
      <c r="BJ404" s="86"/>
      <c r="BK404" s="86"/>
      <c r="BL404" s="86"/>
      <c r="BM404" s="86"/>
      <c r="BN404" s="86"/>
      <c r="BO404" s="86"/>
      <c r="BP404" s="86"/>
      <c r="BQ404" s="86"/>
      <c r="BR404" s="86"/>
      <c r="BS404" s="86"/>
      <c r="BT404" s="86"/>
      <c r="BU404" s="86"/>
      <c r="BV404" s="86"/>
      <c r="BW404" s="86"/>
      <c r="BX404" s="86"/>
      <c r="BY404" s="86"/>
      <c r="BZ404" s="86"/>
      <c r="CA404" s="86"/>
      <c r="CB404" s="86"/>
      <c r="CC404" s="86"/>
      <c r="CD404" s="86"/>
      <c r="CE404" s="86"/>
      <c r="CF404" s="88"/>
    </row>
    <row r="405" spans="1:84" ht="15.75" x14ac:dyDescent="0.25">
      <c r="A405" s="149" t="s">
        <v>327</v>
      </c>
      <c r="B405" s="150" t="s">
        <v>578</v>
      </c>
      <c r="C405" s="96"/>
      <c r="D405" s="95" t="s">
        <v>554</v>
      </c>
      <c r="E405" s="150"/>
      <c r="F405" s="16" t="s">
        <v>13</v>
      </c>
      <c r="G405" s="16" t="s">
        <v>13</v>
      </c>
      <c r="H405" s="75" t="s">
        <v>353</v>
      </c>
      <c r="I405" s="136">
        <v>0</v>
      </c>
      <c r="J405" s="17" t="s">
        <v>79</v>
      </c>
      <c r="K405" s="142">
        <v>46402</v>
      </c>
      <c r="L405" s="142">
        <v>46433</v>
      </c>
      <c r="M405" s="76"/>
      <c r="N405" s="77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  <c r="AQ405" s="86"/>
      <c r="AR405" s="86"/>
      <c r="AS405" s="86"/>
      <c r="AT405" s="86"/>
      <c r="AU405" s="86"/>
      <c r="AV405" s="86"/>
      <c r="AW405" s="86"/>
      <c r="AX405" s="86"/>
      <c r="AY405" s="86"/>
      <c r="AZ405" s="86"/>
      <c r="BA405" s="86"/>
      <c r="BB405" s="86"/>
      <c r="BC405" s="86"/>
      <c r="BD405" s="86"/>
      <c r="BE405" s="86"/>
      <c r="BF405" s="86"/>
      <c r="BG405" s="87"/>
      <c r="BH405" s="87"/>
      <c r="BI405" s="87"/>
      <c r="BJ405" s="87"/>
      <c r="BK405" s="86"/>
      <c r="BL405" s="86"/>
      <c r="BM405" s="86"/>
      <c r="BN405" s="86"/>
      <c r="BO405" s="86"/>
      <c r="BP405" s="86"/>
      <c r="BQ405" s="86"/>
      <c r="BR405" s="86"/>
      <c r="BS405" s="86"/>
      <c r="BT405" s="86"/>
      <c r="BU405" s="86"/>
      <c r="BV405" s="86"/>
      <c r="BW405" s="86"/>
      <c r="BX405" s="86"/>
      <c r="BY405" s="86"/>
      <c r="BZ405" s="86"/>
      <c r="CA405" s="86"/>
      <c r="CB405" s="86"/>
      <c r="CC405" s="86"/>
      <c r="CD405" s="86"/>
      <c r="CE405" s="86"/>
      <c r="CF405" s="88"/>
    </row>
    <row r="406" spans="1:84" ht="15.75" x14ac:dyDescent="0.25">
      <c r="A406" s="149" t="s">
        <v>327</v>
      </c>
      <c r="B406" s="150" t="s">
        <v>579</v>
      </c>
      <c r="C406" s="96"/>
      <c r="D406" s="95" t="s">
        <v>556</v>
      </c>
      <c r="E406" s="150"/>
      <c r="F406" s="16" t="s">
        <v>13</v>
      </c>
      <c r="G406" s="16" t="s">
        <v>13</v>
      </c>
      <c r="H406" s="75" t="s">
        <v>353</v>
      </c>
      <c r="I406" s="136">
        <v>0</v>
      </c>
      <c r="J406" s="17" t="s">
        <v>79</v>
      </c>
      <c r="K406" s="142">
        <v>46402</v>
      </c>
      <c r="L406" s="142">
        <v>46433</v>
      </c>
      <c r="M406" s="76"/>
      <c r="N406" s="77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  <c r="AQ406" s="86"/>
      <c r="AR406" s="86"/>
      <c r="AS406" s="86"/>
      <c r="AT406" s="86"/>
      <c r="AU406" s="86"/>
      <c r="AV406" s="86"/>
      <c r="AW406" s="86"/>
      <c r="AX406" s="86"/>
      <c r="AY406" s="86"/>
      <c r="AZ406" s="86"/>
      <c r="BA406" s="86"/>
      <c r="BB406" s="86"/>
      <c r="BC406" s="86"/>
      <c r="BD406" s="86"/>
      <c r="BE406" s="86"/>
      <c r="BF406" s="86"/>
      <c r="BG406" s="87"/>
      <c r="BH406" s="87"/>
      <c r="BI406" s="87"/>
      <c r="BJ406" s="87"/>
      <c r="BK406" s="86"/>
      <c r="BL406" s="86"/>
      <c r="BM406" s="86"/>
      <c r="BN406" s="86"/>
      <c r="BO406" s="86"/>
      <c r="BP406" s="86"/>
      <c r="BQ406" s="86"/>
      <c r="BR406" s="86"/>
      <c r="BS406" s="86"/>
      <c r="BT406" s="86"/>
      <c r="BU406" s="86"/>
      <c r="BV406" s="86"/>
      <c r="BW406" s="86"/>
      <c r="BX406" s="86"/>
      <c r="BY406" s="86"/>
      <c r="BZ406" s="86"/>
      <c r="CA406" s="86"/>
      <c r="CB406" s="86"/>
      <c r="CC406" s="86"/>
      <c r="CD406" s="86"/>
      <c r="CE406" s="86"/>
      <c r="CF406" s="88"/>
    </row>
    <row r="407" spans="1:84" ht="15.75" x14ac:dyDescent="0.25">
      <c r="A407" s="149" t="s">
        <v>327</v>
      </c>
      <c r="B407" s="150" t="s">
        <v>580</v>
      </c>
      <c r="C407" s="84"/>
      <c r="D407" s="94" t="s">
        <v>558</v>
      </c>
      <c r="E407" s="150"/>
      <c r="F407" s="16" t="s">
        <v>13</v>
      </c>
      <c r="G407" s="16" t="s">
        <v>13</v>
      </c>
      <c r="H407" s="75" t="s">
        <v>353</v>
      </c>
      <c r="I407" s="136">
        <v>0</v>
      </c>
      <c r="J407" s="17" t="s">
        <v>79</v>
      </c>
      <c r="K407" s="142">
        <v>46402</v>
      </c>
      <c r="L407" s="142">
        <v>46433</v>
      </c>
      <c r="M407" s="76"/>
      <c r="N407" s="77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  <c r="AQ407" s="86"/>
      <c r="AR407" s="86"/>
      <c r="AS407" s="86"/>
      <c r="AT407" s="86"/>
      <c r="AU407" s="86"/>
      <c r="AV407" s="86"/>
      <c r="AW407" s="86"/>
      <c r="AX407" s="86"/>
      <c r="AY407" s="86"/>
      <c r="AZ407" s="86"/>
      <c r="BA407" s="86"/>
      <c r="BB407" s="86"/>
      <c r="BC407" s="86"/>
      <c r="BD407" s="86"/>
      <c r="BE407" s="86"/>
      <c r="BF407" s="86"/>
      <c r="BG407" s="87"/>
      <c r="BH407" s="87"/>
      <c r="BI407" s="87"/>
      <c r="BJ407" s="87"/>
      <c r="BK407" s="86"/>
      <c r="BL407" s="86"/>
      <c r="BM407" s="86"/>
      <c r="BN407" s="86"/>
      <c r="BO407" s="86"/>
      <c r="BP407" s="86"/>
      <c r="BQ407" s="86"/>
      <c r="BR407" s="86"/>
      <c r="BS407" s="86"/>
      <c r="BT407" s="86"/>
      <c r="BU407" s="86"/>
      <c r="BV407" s="86"/>
      <c r="BW407" s="86"/>
      <c r="BX407" s="86"/>
      <c r="BY407" s="86"/>
      <c r="BZ407" s="86"/>
      <c r="CA407" s="86"/>
      <c r="CB407" s="86"/>
      <c r="CC407" s="86"/>
      <c r="CD407" s="86"/>
      <c r="CE407" s="86"/>
      <c r="CF407" s="88"/>
    </row>
    <row r="408" spans="1:84" ht="15.75" x14ac:dyDescent="0.25">
      <c r="A408" s="149" t="s">
        <v>327</v>
      </c>
      <c r="B408" s="150" t="s">
        <v>581</v>
      </c>
      <c r="C408" s="84"/>
      <c r="D408" s="94" t="s">
        <v>560</v>
      </c>
      <c r="E408" s="150"/>
      <c r="F408" s="16" t="s">
        <v>13</v>
      </c>
      <c r="G408" s="16" t="s">
        <v>13</v>
      </c>
      <c r="H408" s="75" t="s">
        <v>353</v>
      </c>
      <c r="I408" s="136">
        <v>0</v>
      </c>
      <c r="J408" s="17" t="s">
        <v>79</v>
      </c>
      <c r="K408" s="142">
        <v>46402</v>
      </c>
      <c r="L408" s="142">
        <v>46433</v>
      </c>
      <c r="M408" s="76"/>
      <c r="N408" s="77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  <c r="AQ408" s="86"/>
      <c r="AR408" s="86"/>
      <c r="AS408" s="86"/>
      <c r="AT408" s="86"/>
      <c r="AU408" s="86"/>
      <c r="AV408" s="86"/>
      <c r="AW408" s="86"/>
      <c r="AX408" s="86"/>
      <c r="AY408" s="86"/>
      <c r="AZ408" s="86"/>
      <c r="BA408" s="86"/>
      <c r="BB408" s="86"/>
      <c r="BC408" s="86"/>
      <c r="BD408" s="86"/>
      <c r="BE408" s="86"/>
      <c r="BF408" s="86"/>
      <c r="BG408" s="87"/>
      <c r="BH408" s="87"/>
      <c r="BI408" s="87"/>
      <c r="BJ408" s="87"/>
      <c r="BK408" s="86"/>
      <c r="BL408" s="86"/>
      <c r="BM408" s="86"/>
      <c r="BN408" s="86"/>
      <c r="BO408" s="86"/>
      <c r="BP408" s="86"/>
      <c r="BQ408" s="86"/>
      <c r="BR408" s="86"/>
      <c r="BS408" s="86"/>
      <c r="BT408" s="86"/>
      <c r="BU408" s="86"/>
      <c r="BV408" s="86"/>
      <c r="BW408" s="86"/>
      <c r="BX408" s="86"/>
      <c r="BY408" s="86"/>
      <c r="BZ408" s="86"/>
      <c r="CA408" s="86"/>
      <c r="CB408" s="86"/>
      <c r="CC408" s="86"/>
      <c r="CD408" s="86"/>
      <c r="CE408" s="86"/>
      <c r="CF408" s="88"/>
    </row>
    <row r="409" spans="1:84" ht="15.75" x14ac:dyDescent="0.25">
      <c r="A409" s="149" t="s">
        <v>327</v>
      </c>
      <c r="B409" s="150" t="s">
        <v>582</v>
      </c>
      <c r="C409" s="73"/>
      <c r="D409" s="74" t="s">
        <v>373</v>
      </c>
      <c r="E409" s="150"/>
      <c r="F409" s="16" t="s">
        <v>13</v>
      </c>
      <c r="G409" s="16" t="s">
        <v>13</v>
      </c>
      <c r="H409" s="75" t="s">
        <v>353</v>
      </c>
      <c r="I409" s="136">
        <v>0</v>
      </c>
      <c r="J409" s="17" t="s">
        <v>79</v>
      </c>
      <c r="K409" s="142">
        <v>46419</v>
      </c>
      <c r="L409" s="142">
        <v>46433</v>
      </c>
      <c r="M409" s="76"/>
      <c r="N409" s="77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  <c r="AY409" s="78"/>
      <c r="AZ409" s="78"/>
      <c r="BA409" s="78"/>
      <c r="BB409" s="78"/>
      <c r="BC409" s="78"/>
      <c r="BD409" s="78"/>
      <c r="BE409" s="78"/>
      <c r="BF409" s="78"/>
      <c r="BG409" s="78"/>
      <c r="BH409" s="78"/>
      <c r="BI409" s="78"/>
      <c r="BJ409" s="79"/>
      <c r="BK409" s="78"/>
      <c r="BL409" s="78"/>
      <c r="BM409" s="78"/>
      <c r="BN409" s="78"/>
      <c r="BO409" s="78"/>
      <c r="BP409" s="78"/>
      <c r="BQ409" s="78"/>
      <c r="BR409" s="78"/>
      <c r="BS409" s="78"/>
      <c r="BT409" s="78"/>
      <c r="BU409" s="78"/>
      <c r="BV409" s="78"/>
      <c r="BW409" s="78"/>
      <c r="BX409" s="78"/>
      <c r="BY409" s="78"/>
      <c r="BZ409" s="78"/>
      <c r="CA409" s="78"/>
      <c r="CB409" s="78"/>
      <c r="CC409" s="78"/>
      <c r="CD409" s="78"/>
      <c r="CE409" s="78"/>
      <c r="CF409" s="80"/>
    </row>
    <row r="410" spans="1:84" ht="15.75" x14ac:dyDescent="0.25">
      <c r="A410" s="149" t="s">
        <v>327</v>
      </c>
      <c r="B410" s="150" t="s">
        <v>583</v>
      </c>
      <c r="C410" s="73"/>
      <c r="D410" s="69" t="s">
        <v>375</v>
      </c>
      <c r="E410" s="150"/>
      <c r="F410" s="16" t="s">
        <v>13</v>
      </c>
      <c r="G410" s="16" t="s">
        <v>13</v>
      </c>
      <c r="H410" s="75" t="s">
        <v>353</v>
      </c>
      <c r="I410" s="75"/>
      <c r="J410" s="17" t="s">
        <v>79</v>
      </c>
      <c r="K410" s="142">
        <v>46433</v>
      </c>
      <c r="L410" s="142">
        <v>46461</v>
      </c>
      <c r="M410" s="76"/>
      <c r="N410" s="77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  <c r="AY410" s="78"/>
      <c r="AZ410" s="78"/>
      <c r="BA410" s="78"/>
      <c r="BB410" s="78"/>
      <c r="BC410" s="78"/>
      <c r="BD410" s="78"/>
      <c r="BE410" s="78"/>
      <c r="BF410" s="78"/>
      <c r="BG410" s="78"/>
      <c r="BH410" s="78"/>
      <c r="BI410" s="78"/>
      <c r="BJ410" s="78"/>
      <c r="BK410" s="93"/>
      <c r="BL410" s="93"/>
      <c r="BM410" s="93"/>
      <c r="BN410" s="93"/>
      <c r="BO410" s="78"/>
      <c r="BP410" s="78"/>
      <c r="BQ410" s="78"/>
      <c r="BR410" s="78"/>
      <c r="BS410" s="78"/>
      <c r="BT410" s="78"/>
      <c r="BU410" s="78"/>
      <c r="BV410" s="78"/>
      <c r="BW410" s="78"/>
      <c r="BX410" s="78"/>
      <c r="BY410" s="78"/>
      <c r="BZ410" s="78"/>
      <c r="CA410" s="78"/>
      <c r="CB410" s="78"/>
      <c r="CC410" s="78"/>
      <c r="CD410" s="78"/>
      <c r="CE410" s="78"/>
      <c r="CF410" s="80"/>
    </row>
    <row r="411" spans="1:84" ht="15.75" x14ac:dyDescent="0.25">
      <c r="A411" s="149" t="s">
        <v>327</v>
      </c>
      <c r="B411" s="150" t="s">
        <v>584</v>
      </c>
      <c r="C411" s="84"/>
      <c r="D411" s="94" t="s">
        <v>544</v>
      </c>
      <c r="E411" s="150"/>
      <c r="F411" s="16" t="s">
        <v>13</v>
      </c>
      <c r="G411" s="16" t="s">
        <v>13</v>
      </c>
      <c r="H411" s="75" t="s">
        <v>353</v>
      </c>
      <c r="I411" s="75"/>
      <c r="J411" s="17" t="s">
        <v>79</v>
      </c>
      <c r="K411" s="142">
        <v>46433</v>
      </c>
      <c r="L411" s="142">
        <v>46461</v>
      </c>
      <c r="M411" s="76"/>
      <c r="N411" s="77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  <c r="AQ411" s="86"/>
      <c r="AR411" s="86"/>
      <c r="AS411" s="86"/>
      <c r="AT411" s="86"/>
      <c r="AU411" s="86"/>
      <c r="AV411" s="86"/>
      <c r="AW411" s="86"/>
      <c r="AX411" s="86"/>
      <c r="AY411" s="86"/>
      <c r="AZ411" s="86"/>
      <c r="BA411" s="86"/>
      <c r="BB411" s="86"/>
      <c r="BC411" s="86"/>
      <c r="BD411" s="86"/>
      <c r="BE411" s="86"/>
      <c r="BF411" s="86"/>
      <c r="BG411" s="86"/>
      <c r="BH411" s="86"/>
      <c r="BI411" s="86"/>
      <c r="BJ411" s="86"/>
      <c r="BK411" s="87"/>
      <c r="BL411" s="87"/>
      <c r="BM411" s="87"/>
      <c r="BN411" s="87"/>
      <c r="BO411" s="86"/>
      <c r="BP411" s="86"/>
      <c r="BQ411" s="86"/>
      <c r="BR411" s="86"/>
      <c r="BS411" s="86"/>
      <c r="BT411" s="86"/>
      <c r="BU411" s="86"/>
      <c r="BV411" s="86"/>
      <c r="BW411" s="86"/>
      <c r="BX411" s="86"/>
      <c r="BY411" s="86"/>
      <c r="BZ411" s="86"/>
      <c r="CA411" s="86"/>
      <c r="CB411" s="86"/>
      <c r="CC411" s="86"/>
      <c r="CD411" s="86"/>
      <c r="CE411" s="86"/>
      <c r="CF411" s="88"/>
    </row>
    <row r="412" spans="1:84" ht="15.75" x14ac:dyDescent="0.25">
      <c r="A412" s="149" t="s">
        <v>327</v>
      </c>
      <c r="B412" s="150" t="s">
        <v>585</v>
      </c>
      <c r="C412" s="96"/>
      <c r="D412" s="95" t="s">
        <v>546</v>
      </c>
      <c r="E412" s="150"/>
      <c r="F412" s="16" t="s">
        <v>13</v>
      </c>
      <c r="G412" s="16" t="s">
        <v>13</v>
      </c>
      <c r="H412" s="75" t="s">
        <v>353</v>
      </c>
      <c r="I412" s="136">
        <v>0</v>
      </c>
      <c r="J412" s="17" t="s">
        <v>79</v>
      </c>
      <c r="K412" s="142">
        <v>46433</v>
      </c>
      <c r="L412" s="142">
        <v>46461</v>
      </c>
      <c r="M412" s="76"/>
      <c r="N412" s="77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  <c r="AQ412" s="86"/>
      <c r="AR412" s="86"/>
      <c r="AS412" s="86"/>
      <c r="AT412" s="86"/>
      <c r="AU412" s="86"/>
      <c r="AV412" s="86"/>
      <c r="AW412" s="86"/>
      <c r="AX412" s="86"/>
      <c r="AY412" s="86"/>
      <c r="AZ412" s="86"/>
      <c r="BA412" s="86"/>
      <c r="BB412" s="86"/>
      <c r="BC412" s="86"/>
      <c r="BD412" s="86"/>
      <c r="BE412" s="86"/>
      <c r="BF412" s="86"/>
      <c r="BG412" s="86"/>
      <c r="BH412" s="86"/>
      <c r="BI412" s="86"/>
      <c r="BJ412" s="86"/>
      <c r="BK412" s="87"/>
      <c r="BL412" s="87"/>
      <c r="BM412" s="87"/>
      <c r="BN412" s="86"/>
      <c r="BO412" s="86"/>
      <c r="BP412" s="86"/>
      <c r="BQ412" s="86"/>
      <c r="BR412" s="86"/>
      <c r="BS412" s="86"/>
      <c r="BT412" s="86"/>
      <c r="BU412" s="86"/>
      <c r="BV412" s="86"/>
      <c r="BW412" s="86"/>
      <c r="BX412" s="86"/>
      <c r="BY412" s="86"/>
      <c r="BZ412" s="86"/>
      <c r="CA412" s="86"/>
      <c r="CB412" s="86"/>
      <c r="CC412" s="86"/>
      <c r="CD412" s="86"/>
      <c r="CE412" s="86"/>
      <c r="CF412" s="88"/>
    </row>
    <row r="413" spans="1:84" ht="15.75" x14ac:dyDescent="0.25">
      <c r="A413" s="149" t="s">
        <v>327</v>
      </c>
      <c r="B413" s="150" t="s">
        <v>586</v>
      </c>
      <c r="C413" s="96"/>
      <c r="D413" s="95" t="s">
        <v>548</v>
      </c>
      <c r="E413" s="150"/>
      <c r="F413" s="16" t="s">
        <v>13</v>
      </c>
      <c r="G413" s="16" t="s">
        <v>13</v>
      </c>
      <c r="H413" s="75" t="s">
        <v>353</v>
      </c>
      <c r="I413" s="136">
        <v>0</v>
      </c>
      <c r="J413" s="17" t="s">
        <v>79</v>
      </c>
      <c r="K413" s="142">
        <v>46433</v>
      </c>
      <c r="L413" s="142">
        <v>46446</v>
      </c>
      <c r="M413" s="76"/>
      <c r="N413" s="77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  <c r="AQ413" s="86"/>
      <c r="AR413" s="86"/>
      <c r="AS413" s="86"/>
      <c r="AT413" s="86"/>
      <c r="AU413" s="86"/>
      <c r="AV413" s="86"/>
      <c r="AW413" s="86"/>
      <c r="AX413" s="86"/>
      <c r="AY413" s="86"/>
      <c r="AZ413" s="86"/>
      <c r="BA413" s="86"/>
      <c r="BB413" s="86"/>
      <c r="BC413" s="86"/>
      <c r="BD413" s="86"/>
      <c r="BE413" s="86"/>
      <c r="BF413" s="86"/>
      <c r="BG413" s="86"/>
      <c r="BH413" s="86"/>
      <c r="BI413" s="86"/>
      <c r="BJ413" s="86"/>
      <c r="BK413" s="87"/>
      <c r="BL413" s="87"/>
      <c r="BM413" s="86"/>
      <c r="BN413" s="86"/>
      <c r="BO413" s="86"/>
      <c r="BP413" s="86"/>
      <c r="BQ413" s="86"/>
      <c r="BR413" s="86"/>
      <c r="BS413" s="86"/>
      <c r="BT413" s="86"/>
      <c r="BU413" s="86"/>
      <c r="BV413" s="86"/>
      <c r="BW413" s="86"/>
      <c r="BX413" s="86"/>
      <c r="BY413" s="86"/>
      <c r="BZ413" s="86"/>
      <c r="CA413" s="86"/>
      <c r="CB413" s="86"/>
      <c r="CC413" s="86"/>
      <c r="CD413" s="86"/>
      <c r="CE413" s="86"/>
      <c r="CF413" s="88"/>
    </row>
    <row r="414" spans="1:84" ht="15.75" x14ac:dyDescent="0.25">
      <c r="A414" s="149" t="s">
        <v>327</v>
      </c>
      <c r="B414" s="150" t="s">
        <v>587</v>
      </c>
      <c r="C414" s="96"/>
      <c r="D414" s="95" t="s">
        <v>550</v>
      </c>
      <c r="E414" s="150"/>
      <c r="F414" s="16" t="s">
        <v>13</v>
      </c>
      <c r="G414" s="16" t="s">
        <v>13</v>
      </c>
      <c r="H414" s="75" t="s">
        <v>353</v>
      </c>
      <c r="I414" s="136">
        <v>0</v>
      </c>
      <c r="J414" s="17" t="s">
        <v>79</v>
      </c>
      <c r="K414" s="142">
        <v>46433</v>
      </c>
      <c r="L414" s="142">
        <v>46446</v>
      </c>
      <c r="M414" s="76"/>
      <c r="N414" s="77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  <c r="AQ414" s="86"/>
      <c r="AR414" s="86"/>
      <c r="AS414" s="86"/>
      <c r="AT414" s="86"/>
      <c r="AU414" s="86"/>
      <c r="AV414" s="86"/>
      <c r="AW414" s="86"/>
      <c r="AX414" s="86"/>
      <c r="AY414" s="86"/>
      <c r="AZ414" s="86"/>
      <c r="BA414" s="86"/>
      <c r="BB414" s="86"/>
      <c r="BC414" s="86"/>
      <c r="BD414" s="86"/>
      <c r="BE414" s="86"/>
      <c r="BF414" s="86"/>
      <c r="BG414" s="86"/>
      <c r="BH414" s="86"/>
      <c r="BI414" s="86"/>
      <c r="BJ414" s="86"/>
      <c r="BK414" s="87"/>
      <c r="BL414" s="87"/>
      <c r="BM414" s="86"/>
      <c r="BN414" s="86"/>
      <c r="BO414" s="86"/>
      <c r="BP414" s="86"/>
      <c r="BQ414" s="86"/>
      <c r="BR414" s="86"/>
      <c r="BS414" s="86"/>
      <c r="BT414" s="86"/>
      <c r="BU414" s="86"/>
      <c r="BV414" s="86"/>
      <c r="BW414" s="86"/>
      <c r="BX414" s="86"/>
      <c r="BY414" s="86"/>
      <c r="BZ414" s="86"/>
      <c r="CA414" s="86"/>
      <c r="CB414" s="86"/>
      <c r="CC414" s="86"/>
      <c r="CD414" s="86"/>
      <c r="CE414" s="86"/>
      <c r="CF414" s="88"/>
    </row>
    <row r="415" spans="1:84" ht="15.75" x14ac:dyDescent="0.25">
      <c r="A415" s="149" t="s">
        <v>327</v>
      </c>
      <c r="B415" s="150" t="s">
        <v>588</v>
      </c>
      <c r="C415" s="96"/>
      <c r="D415" s="95" t="s">
        <v>552</v>
      </c>
      <c r="E415" s="150"/>
      <c r="F415" s="16" t="s">
        <v>13</v>
      </c>
      <c r="G415" s="16" t="s">
        <v>13</v>
      </c>
      <c r="H415" s="75" t="s">
        <v>353</v>
      </c>
      <c r="I415" s="136">
        <v>0</v>
      </c>
      <c r="J415" s="17" t="s">
        <v>79</v>
      </c>
      <c r="K415" s="142">
        <v>46433</v>
      </c>
      <c r="L415" s="142">
        <v>46446</v>
      </c>
      <c r="M415" s="76"/>
      <c r="N415" s="77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  <c r="AQ415" s="86"/>
      <c r="AR415" s="86"/>
      <c r="AS415" s="86"/>
      <c r="AT415" s="86"/>
      <c r="AU415" s="86"/>
      <c r="AV415" s="86"/>
      <c r="AW415" s="86"/>
      <c r="AX415" s="86"/>
      <c r="AY415" s="86"/>
      <c r="AZ415" s="86"/>
      <c r="BA415" s="86"/>
      <c r="BB415" s="86"/>
      <c r="BC415" s="86"/>
      <c r="BD415" s="86"/>
      <c r="BE415" s="86"/>
      <c r="BF415" s="86"/>
      <c r="BG415" s="86"/>
      <c r="BH415" s="86"/>
      <c r="BI415" s="86"/>
      <c r="BJ415" s="86"/>
      <c r="BK415" s="87"/>
      <c r="BL415" s="87"/>
      <c r="BM415" s="86"/>
      <c r="BN415" s="86"/>
      <c r="BO415" s="86"/>
      <c r="BP415" s="86"/>
      <c r="BQ415" s="86"/>
      <c r="BR415" s="86"/>
      <c r="BS415" s="86"/>
      <c r="BT415" s="86"/>
      <c r="BU415" s="86"/>
      <c r="BV415" s="86"/>
      <c r="BW415" s="86"/>
      <c r="BX415" s="86"/>
      <c r="BY415" s="86"/>
      <c r="BZ415" s="86"/>
      <c r="CA415" s="86"/>
      <c r="CB415" s="86"/>
      <c r="CC415" s="86"/>
      <c r="CD415" s="86"/>
      <c r="CE415" s="86"/>
      <c r="CF415" s="88"/>
    </row>
    <row r="416" spans="1:84" ht="15.75" x14ac:dyDescent="0.25">
      <c r="A416" s="149" t="s">
        <v>327</v>
      </c>
      <c r="B416" s="150" t="s">
        <v>589</v>
      </c>
      <c r="C416" s="96"/>
      <c r="D416" s="95" t="s">
        <v>554</v>
      </c>
      <c r="E416" s="150"/>
      <c r="F416" s="16" t="s">
        <v>13</v>
      </c>
      <c r="G416" s="16" t="s">
        <v>13</v>
      </c>
      <c r="H416" s="75" t="s">
        <v>353</v>
      </c>
      <c r="I416" s="136">
        <v>0</v>
      </c>
      <c r="J416" s="17" t="s">
        <v>79</v>
      </c>
      <c r="K416" s="142">
        <v>46433</v>
      </c>
      <c r="L416" s="142">
        <v>46461</v>
      </c>
      <c r="M416" s="76"/>
      <c r="N416" s="77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  <c r="AQ416" s="86"/>
      <c r="AR416" s="86"/>
      <c r="AS416" s="86"/>
      <c r="AT416" s="86"/>
      <c r="AU416" s="86"/>
      <c r="AV416" s="86"/>
      <c r="AW416" s="86"/>
      <c r="AX416" s="86"/>
      <c r="AY416" s="86"/>
      <c r="AZ416" s="86"/>
      <c r="BA416" s="86"/>
      <c r="BB416" s="86"/>
      <c r="BC416" s="86"/>
      <c r="BD416" s="86"/>
      <c r="BE416" s="86"/>
      <c r="BF416" s="86"/>
      <c r="BG416" s="86"/>
      <c r="BH416" s="86"/>
      <c r="BI416" s="86"/>
      <c r="BJ416" s="86"/>
      <c r="BK416" s="87"/>
      <c r="BL416" s="87"/>
      <c r="BM416" s="87"/>
      <c r="BN416" s="87"/>
      <c r="BO416" s="86"/>
      <c r="BP416" s="86"/>
      <c r="BQ416" s="86"/>
      <c r="BR416" s="86"/>
      <c r="BS416" s="86"/>
      <c r="BT416" s="86"/>
      <c r="BU416" s="86"/>
      <c r="BV416" s="86"/>
      <c r="BW416" s="86"/>
      <c r="BX416" s="86"/>
      <c r="BY416" s="86"/>
      <c r="BZ416" s="86"/>
      <c r="CA416" s="86"/>
      <c r="CB416" s="86"/>
      <c r="CC416" s="86"/>
      <c r="CD416" s="86"/>
      <c r="CE416" s="86"/>
      <c r="CF416" s="88"/>
    </row>
    <row r="417" spans="1:84" ht="15.75" x14ac:dyDescent="0.25">
      <c r="A417" s="149" t="s">
        <v>327</v>
      </c>
      <c r="B417" s="150" t="s">
        <v>590</v>
      </c>
      <c r="C417" s="96"/>
      <c r="D417" s="95" t="s">
        <v>556</v>
      </c>
      <c r="E417" s="150"/>
      <c r="F417" s="16" t="s">
        <v>13</v>
      </c>
      <c r="G417" s="16" t="s">
        <v>13</v>
      </c>
      <c r="H417" s="75" t="s">
        <v>353</v>
      </c>
      <c r="I417" s="136">
        <v>0</v>
      </c>
      <c r="J417" s="17" t="s">
        <v>79</v>
      </c>
      <c r="K417" s="142">
        <v>46433</v>
      </c>
      <c r="L417" s="142">
        <v>46461</v>
      </c>
      <c r="M417" s="76"/>
      <c r="N417" s="77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  <c r="AQ417" s="86"/>
      <c r="AR417" s="86"/>
      <c r="AS417" s="86"/>
      <c r="AT417" s="86"/>
      <c r="AU417" s="86"/>
      <c r="AV417" s="86"/>
      <c r="AW417" s="86"/>
      <c r="AX417" s="86"/>
      <c r="AY417" s="86"/>
      <c r="AZ417" s="86"/>
      <c r="BA417" s="86"/>
      <c r="BB417" s="86"/>
      <c r="BC417" s="86"/>
      <c r="BD417" s="86"/>
      <c r="BE417" s="86"/>
      <c r="BF417" s="86"/>
      <c r="BG417" s="86"/>
      <c r="BH417" s="86"/>
      <c r="BI417" s="86"/>
      <c r="BJ417" s="86"/>
      <c r="BK417" s="87"/>
      <c r="BL417" s="87"/>
      <c r="BM417" s="87"/>
      <c r="BN417" s="87"/>
      <c r="BO417" s="86"/>
      <c r="BP417" s="86"/>
      <c r="BQ417" s="86"/>
      <c r="BR417" s="86"/>
      <c r="BS417" s="86"/>
      <c r="BT417" s="86"/>
      <c r="BU417" s="86"/>
      <c r="BV417" s="86"/>
      <c r="BW417" s="86"/>
      <c r="BX417" s="86"/>
      <c r="BY417" s="86"/>
      <c r="BZ417" s="86"/>
      <c r="CA417" s="86"/>
      <c r="CB417" s="86"/>
      <c r="CC417" s="86"/>
      <c r="CD417" s="86"/>
      <c r="CE417" s="86"/>
      <c r="CF417" s="88"/>
    </row>
    <row r="418" spans="1:84" ht="15.75" x14ac:dyDescent="0.25">
      <c r="A418" s="149" t="s">
        <v>327</v>
      </c>
      <c r="B418" s="150" t="s">
        <v>591</v>
      </c>
      <c r="C418" s="84"/>
      <c r="D418" s="94" t="s">
        <v>558</v>
      </c>
      <c r="E418" s="150"/>
      <c r="F418" s="16" t="s">
        <v>13</v>
      </c>
      <c r="G418" s="16" t="s">
        <v>13</v>
      </c>
      <c r="H418" s="75" t="s">
        <v>353</v>
      </c>
      <c r="I418" s="136">
        <v>0</v>
      </c>
      <c r="J418" s="17" t="s">
        <v>79</v>
      </c>
      <c r="K418" s="142">
        <v>46433</v>
      </c>
      <c r="L418" s="142">
        <v>46461</v>
      </c>
      <c r="M418" s="76"/>
      <c r="N418" s="77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  <c r="AQ418" s="86"/>
      <c r="AR418" s="86"/>
      <c r="AS418" s="86"/>
      <c r="AT418" s="86"/>
      <c r="AU418" s="86"/>
      <c r="AV418" s="86"/>
      <c r="AW418" s="86"/>
      <c r="AX418" s="86"/>
      <c r="AY418" s="86"/>
      <c r="AZ418" s="86"/>
      <c r="BA418" s="86"/>
      <c r="BB418" s="86"/>
      <c r="BC418" s="86"/>
      <c r="BD418" s="86"/>
      <c r="BE418" s="86"/>
      <c r="BF418" s="86"/>
      <c r="BG418" s="86"/>
      <c r="BH418" s="86"/>
      <c r="BI418" s="86"/>
      <c r="BJ418" s="86"/>
      <c r="BK418" s="87"/>
      <c r="BL418" s="87"/>
      <c r="BM418" s="87"/>
      <c r="BN418" s="87"/>
      <c r="BO418" s="86"/>
      <c r="BP418" s="86"/>
      <c r="BQ418" s="86"/>
      <c r="BR418" s="86"/>
      <c r="BS418" s="86"/>
      <c r="BT418" s="86"/>
      <c r="BU418" s="86"/>
      <c r="BV418" s="86"/>
      <c r="BW418" s="86"/>
      <c r="BX418" s="86"/>
      <c r="BY418" s="86"/>
      <c r="BZ418" s="86"/>
      <c r="CA418" s="86"/>
      <c r="CB418" s="86"/>
      <c r="CC418" s="86"/>
      <c r="CD418" s="86"/>
      <c r="CE418" s="86"/>
      <c r="CF418" s="88"/>
    </row>
    <row r="419" spans="1:84" ht="15.75" x14ac:dyDescent="0.25">
      <c r="A419" s="149" t="s">
        <v>327</v>
      </c>
      <c r="B419" s="150" t="s">
        <v>592</v>
      </c>
      <c r="C419" s="84"/>
      <c r="D419" s="94" t="s">
        <v>560</v>
      </c>
      <c r="E419" s="150"/>
      <c r="F419" s="16" t="s">
        <v>13</v>
      </c>
      <c r="G419" s="16" t="s">
        <v>13</v>
      </c>
      <c r="H419" s="75" t="s">
        <v>353</v>
      </c>
      <c r="I419" s="136">
        <v>0</v>
      </c>
      <c r="J419" s="17" t="s">
        <v>79</v>
      </c>
      <c r="K419" s="142">
        <v>46433</v>
      </c>
      <c r="L419" s="142">
        <v>46461</v>
      </c>
      <c r="M419" s="76"/>
      <c r="N419" s="77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  <c r="AQ419" s="86"/>
      <c r="AR419" s="86"/>
      <c r="AS419" s="86"/>
      <c r="AT419" s="86"/>
      <c r="AU419" s="86"/>
      <c r="AV419" s="86"/>
      <c r="AW419" s="86"/>
      <c r="AX419" s="86"/>
      <c r="AY419" s="86"/>
      <c r="AZ419" s="86"/>
      <c r="BA419" s="86"/>
      <c r="BB419" s="86"/>
      <c r="BC419" s="86"/>
      <c r="BD419" s="86"/>
      <c r="BE419" s="86"/>
      <c r="BF419" s="86"/>
      <c r="BG419" s="86"/>
      <c r="BH419" s="86"/>
      <c r="BI419" s="86"/>
      <c r="BJ419" s="86"/>
      <c r="BK419" s="87"/>
      <c r="BL419" s="87"/>
      <c r="BM419" s="87"/>
      <c r="BN419" s="87"/>
      <c r="BO419" s="86"/>
      <c r="BP419" s="86"/>
      <c r="BQ419" s="86"/>
      <c r="BR419" s="86"/>
      <c r="BS419" s="86"/>
      <c r="BT419" s="86"/>
      <c r="BU419" s="86"/>
      <c r="BV419" s="86"/>
      <c r="BW419" s="86"/>
      <c r="BX419" s="86"/>
      <c r="BY419" s="86"/>
      <c r="BZ419" s="86"/>
      <c r="CA419" s="86"/>
      <c r="CB419" s="86"/>
      <c r="CC419" s="86"/>
      <c r="CD419" s="86"/>
      <c r="CE419" s="86"/>
      <c r="CF419" s="88"/>
    </row>
    <row r="420" spans="1:84" ht="15.75" x14ac:dyDescent="0.25">
      <c r="A420" s="149" t="s">
        <v>327</v>
      </c>
      <c r="B420" s="150" t="s">
        <v>593</v>
      </c>
      <c r="C420" s="84"/>
      <c r="D420" s="98" t="s">
        <v>385</v>
      </c>
      <c r="E420" s="150"/>
      <c r="F420" s="16" t="s">
        <v>310</v>
      </c>
      <c r="G420" s="16" t="s">
        <v>13</v>
      </c>
      <c r="H420" s="75" t="s">
        <v>353</v>
      </c>
      <c r="I420" s="136">
        <v>0</v>
      </c>
      <c r="J420" s="17" t="s">
        <v>79</v>
      </c>
      <c r="K420" s="142">
        <v>46447</v>
      </c>
      <c r="L420" s="142">
        <v>46461</v>
      </c>
      <c r="M420" s="76"/>
      <c r="N420" s="77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  <c r="AQ420" s="86"/>
      <c r="AR420" s="86"/>
      <c r="AS420" s="86"/>
      <c r="AT420" s="86"/>
      <c r="AU420" s="86"/>
      <c r="AV420" s="86"/>
      <c r="AW420" s="86"/>
      <c r="AX420" s="86"/>
      <c r="AY420" s="86"/>
      <c r="AZ420" s="86"/>
      <c r="BA420" s="86"/>
      <c r="BB420" s="86"/>
      <c r="BC420" s="86"/>
      <c r="BD420" s="86"/>
      <c r="BE420" s="86"/>
      <c r="BF420" s="86"/>
      <c r="BG420" s="86"/>
      <c r="BH420" s="86"/>
      <c r="BI420" s="86"/>
      <c r="BJ420" s="86"/>
      <c r="BK420" s="78"/>
      <c r="BL420" s="78"/>
      <c r="BM420" s="92"/>
      <c r="BN420" s="92"/>
      <c r="BO420" s="86"/>
      <c r="BP420" s="86"/>
      <c r="BQ420" s="86"/>
      <c r="BR420" s="86"/>
      <c r="BS420" s="86"/>
      <c r="BT420" s="86"/>
      <c r="BU420" s="86"/>
      <c r="BV420" s="86"/>
      <c r="BW420" s="86"/>
      <c r="BX420" s="86"/>
      <c r="BY420" s="86"/>
      <c r="BZ420" s="86"/>
      <c r="CA420" s="86"/>
      <c r="CB420" s="86"/>
      <c r="CC420" s="86"/>
      <c r="CD420" s="86"/>
      <c r="CE420" s="86"/>
      <c r="CF420" s="88"/>
    </row>
    <row r="421" spans="1:84" ht="15.75" x14ac:dyDescent="0.25">
      <c r="A421" s="149" t="s">
        <v>327</v>
      </c>
      <c r="B421" s="150" t="s">
        <v>594</v>
      </c>
      <c r="C421" s="84"/>
      <c r="D421" s="98" t="s">
        <v>387</v>
      </c>
      <c r="E421" s="150"/>
      <c r="F421" s="16" t="s">
        <v>274</v>
      </c>
      <c r="G421" s="16" t="s">
        <v>13</v>
      </c>
      <c r="H421" s="75" t="s">
        <v>353</v>
      </c>
      <c r="I421" s="136">
        <v>0</v>
      </c>
      <c r="J421" s="17" t="s">
        <v>79</v>
      </c>
      <c r="K421" s="142">
        <v>46447</v>
      </c>
      <c r="L421" s="142">
        <v>46461</v>
      </c>
      <c r="M421" s="76"/>
      <c r="N421" s="77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 s="86"/>
      <c r="BH421" s="86"/>
      <c r="BI421" s="86"/>
      <c r="BJ421" s="86"/>
      <c r="BK421" s="86"/>
      <c r="BL421" s="86"/>
      <c r="BM421" s="87"/>
      <c r="BN421" s="87"/>
      <c r="BO421" s="86"/>
      <c r="BP421" s="86"/>
      <c r="BQ421" s="86"/>
      <c r="BR421" s="86"/>
      <c r="BS421" s="86"/>
      <c r="BT421" s="86"/>
      <c r="BU421" s="86"/>
      <c r="BV421" s="86"/>
      <c r="BW421" s="86"/>
      <c r="BX421" s="86"/>
      <c r="BY421" s="86"/>
      <c r="BZ421" s="86"/>
      <c r="CA421" s="86"/>
      <c r="CB421" s="86"/>
      <c r="CC421" s="86"/>
      <c r="CD421" s="86"/>
      <c r="CE421" s="86"/>
      <c r="CF421" s="88"/>
    </row>
    <row r="422" spans="1:84" ht="67.5" x14ac:dyDescent="0.25">
      <c r="A422" s="149" t="s">
        <v>327</v>
      </c>
      <c r="B422" s="150" t="s">
        <v>595</v>
      </c>
      <c r="C422" s="84"/>
      <c r="D422" s="43" t="s">
        <v>596</v>
      </c>
      <c r="E422" s="150"/>
      <c r="F422" s="16" t="s">
        <v>13</v>
      </c>
      <c r="G422" s="16" t="s">
        <v>597</v>
      </c>
      <c r="H422" s="75" t="s">
        <v>353</v>
      </c>
      <c r="I422" s="136">
        <v>0</v>
      </c>
      <c r="J422" s="17" t="s">
        <v>79</v>
      </c>
      <c r="K422" s="142">
        <v>46447</v>
      </c>
      <c r="L422" s="142">
        <v>46461</v>
      </c>
      <c r="M422" s="76"/>
      <c r="N422" s="77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  <c r="AQ422" s="86"/>
      <c r="AR422" s="86"/>
      <c r="AS422" s="86"/>
      <c r="AT422" s="86"/>
      <c r="AU422" s="86"/>
      <c r="AV422" s="86"/>
      <c r="AW422" s="86"/>
      <c r="AX422" s="86"/>
      <c r="AY422" s="86"/>
      <c r="AZ422" s="86"/>
      <c r="BA422" s="86"/>
      <c r="BB422" s="86"/>
      <c r="BC422" s="86"/>
      <c r="BD422" s="86"/>
      <c r="BE422" s="86"/>
      <c r="BF422" s="86"/>
      <c r="BG422" s="86"/>
      <c r="BH422" s="86"/>
      <c r="BI422" s="86"/>
      <c r="BJ422" s="86"/>
      <c r="BK422" s="86"/>
      <c r="BL422" s="86"/>
      <c r="BM422" s="86"/>
      <c r="BN422" s="89"/>
      <c r="BO422" s="86"/>
      <c r="BP422" s="86"/>
      <c r="BQ422" s="86"/>
      <c r="BR422" s="86"/>
      <c r="BS422" s="86"/>
      <c r="BT422" s="86"/>
      <c r="BU422" s="86"/>
      <c r="BV422" s="86"/>
      <c r="BW422" s="86"/>
      <c r="BX422" s="86"/>
      <c r="BY422" s="86"/>
      <c r="BZ422" s="86"/>
      <c r="CA422" s="86"/>
      <c r="CB422" s="86"/>
      <c r="CC422" s="86"/>
      <c r="CD422" s="86"/>
      <c r="CE422" s="86"/>
      <c r="CF422" s="88"/>
    </row>
    <row r="423" spans="1:84" ht="15.75" x14ac:dyDescent="0.25">
      <c r="A423" s="99" t="s">
        <v>598</v>
      </c>
      <c r="B423" s="100" t="s">
        <v>595</v>
      </c>
      <c r="C423" s="101"/>
      <c r="D423" s="102" t="s">
        <v>599</v>
      </c>
      <c r="E423" s="150"/>
      <c r="F423" s="124" t="s">
        <v>13</v>
      </c>
      <c r="G423" s="124" t="s">
        <v>13</v>
      </c>
      <c r="H423" s="128" t="s">
        <v>330</v>
      </c>
      <c r="I423" s="103"/>
      <c r="J423" s="124" t="s">
        <v>79</v>
      </c>
      <c r="K423" s="18">
        <v>46157</v>
      </c>
      <c r="L423" s="18">
        <v>46446</v>
      </c>
      <c r="M423" s="76"/>
      <c r="N423" s="77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104"/>
      <c r="AB423" s="104"/>
      <c r="AC423" s="104"/>
      <c r="AD423" s="104"/>
      <c r="AE423" s="104"/>
      <c r="AF423" s="104"/>
      <c r="AG423" s="104"/>
      <c r="AH423" s="104"/>
      <c r="AI423" s="104"/>
      <c r="AJ423" s="104"/>
      <c r="AK423" s="104"/>
      <c r="AL423" s="104"/>
      <c r="AM423" s="104"/>
      <c r="AN423" s="104"/>
      <c r="AO423" s="104"/>
      <c r="AP423" s="104"/>
      <c r="AQ423" s="104"/>
      <c r="AR423" s="104"/>
      <c r="AS423" s="104"/>
      <c r="AT423" s="104"/>
      <c r="AU423" s="104"/>
      <c r="AV423" s="104"/>
      <c r="AW423" s="104"/>
      <c r="AX423" s="104"/>
      <c r="AY423" s="104"/>
      <c r="AZ423" s="104"/>
      <c r="BA423" s="104"/>
      <c r="BB423" s="104"/>
      <c r="BC423" s="104"/>
      <c r="BD423" s="104"/>
      <c r="BE423" s="104"/>
      <c r="BF423" s="104"/>
      <c r="BG423" s="104"/>
      <c r="BH423" s="104"/>
      <c r="BI423" s="104"/>
      <c r="BJ423" s="104"/>
      <c r="BK423" s="104"/>
      <c r="BL423" s="104"/>
      <c r="BM423" s="78"/>
      <c r="BN423" s="78"/>
      <c r="BO423" s="78"/>
      <c r="BP423" s="78"/>
      <c r="BQ423" s="78"/>
      <c r="BR423" s="78"/>
      <c r="BS423" s="78"/>
      <c r="BT423" s="78"/>
      <c r="BU423" s="78"/>
      <c r="BV423" s="78"/>
      <c r="BW423" s="78"/>
      <c r="BX423" s="78"/>
      <c r="BY423" s="78"/>
      <c r="BZ423" s="78"/>
      <c r="CA423" s="78"/>
      <c r="CB423" s="78"/>
      <c r="CC423" s="78"/>
      <c r="CD423" s="78"/>
      <c r="CE423" s="78"/>
      <c r="CF423" s="80"/>
    </row>
    <row r="424" spans="1:84" ht="15.75" x14ac:dyDescent="0.25">
      <c r="A424" s="99" t="s">
        <v>600</v>
      </c>
      <c r="B424" s="100" t="s">
        <v>601</v>
      </c>
      <c r="C424" s="101"/>
      <c r="D424" s="102" t="s">
        <v>602</v>
      </c>
      <c r="E424" s="150"/>
      <c r="F424" s="124" t="s">
        <v>13</v>
      </c>
      <c r="G424" s="124" t="s">
        <v>13</v>
      </c>
      <c r="H424" s="129" t="s">
        <v>353</v>
      </c>
      <c r="I424" s="105"/>
      <c r="J424" s="124" t="s">
        <v>79</v>
      </c>
      <c r="K424" s="18">
        <v>46249</v>
      </c>
      <c r="L424" s="18">
        <v>46522</v>
      </c>
      <c r="M424" s="76"/>
      <c r="N424" s="77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104"/>
      <c r="AN424" s="104"/>
      <c r="AO424" s="104"/>
      <c r="AP424" s="104"/>
      <c r="AQ424" s="104"/>
      <c r="AR424" s="104"/>
      <c r="AS424" s="104"/>
      <c r="AT424" s="104"/>
      <c r="AU424" s="104"/>
      <c r="AV424" s="104"/>
      <c r="AW424" s="104"/>
      <c r="AX424" s="104"/>
      <c r="AY424" s="104"/>
      <c r="AZ424" s="104"/>
      <c r="BA424" s="104"/>
      <c r="BB424" s="104"/>
      <c r="BC424" s="104"/>
      <c r="BD424" s="104"/>
      <c r="BE424" s="104"/>
      <c r="BF424" s="104"/>
      <c r="BG424" s="104"/>
      <c r="BH424" s="104"/>
      <c r="BI424" s="104"/>
      <c r="BJ424" s="104"/>
      <c r="BK424" s="104"/>
      <c r="BL424" s="104"/>
      <c r="BM424" s="104"/>
      <c r="BN424" s="104"/>
      <c r="BO424" s="104"/>
      <c r="BP424" s="104"/>
      <c r="BQ424" s="104"/>
      <c r="BR424" s="104"/>
      <c r="BS424" s="104"/>
      <c r="BT424" s="104"/>
      <c r="BU424" s="104"/>
      <c r="BV424" s="104"/>
      <c r="BW424" s="78"/>
      <c r="BX424" s="78"/>
      <c r="BY424" s="78"/>
      <c r="BZ424" s="78"/>
      <c r="CA424" s="78"/>
      <c r="CB424" s="78"/>
      <c r="CC424" s="78"/>
      <c r="CD424" s="78"/>
      <c r="CE424" s="78"/>
      <c r="CF424" s="80"/>
    </row>
    <row r="425" spans="1:84" ht="15.75" x14ac:dyDescent="0.25">
      <c r="A425" s="99" t="s">
        <v>600</v>
      </c>
      <c r="B425" s="100" t="s">
        <v>603</v>
      </c>
      <c r="C425" s="90"/>
      <c r="D425" s="106" t="s">
        <v>604</v>
      </c>
      <c r="E425" s="150"/>
      <c r="F425" s="124" t="s">
        <v>13</v>
      </c>
      <c r="G425" s="124" t="s">
        <v>13</v>
      </c>
      <c r="H425" s="126" t="s">
        <v>353</v>
      </c>
      <c r="I425" s="136">
        <v>0</v>
      </c>
      <c r="J425" s="125" t="s">
        <v>79</v>
      </c>
      <c r="K425" s="18">
        <v>46249</v>
      </c>
      <c r="L425" s="18">
        <v>46295</v>
      </c>
      <c r="M425" s="76"/>
      <c r="N425" s="77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92"/>
      <c r="AN425" s="92"/>
      <c r="AO425" s="92"/>
      <c r="AP425" s="92"/>
      <c r="AQ425" s="92"/>
      <c r="AR425" s="92"/>
      <c r="AS425" s="78"/>
      <c r="AT425" s="78"/>
      <c r="AU425" s="78"/>
      <c r="AV425" s="78"/>
      <c r="AW425" s="78"/>
      <c r="AX425" s="78"/>
      <c r="AY425" s="78"/>
      <c r="AZ425" s="78"/>
      <c r="BA425" s="78"/>
      <c r="BB425" s="78"/>
      <c r="BC425" s="78"/>
      <c r="BD425" s="78"/>
      <c r="BE425" s="78"/>
      <c r="BF425" s="78"/>
      <c r="BG425" s="78"/>
      <c r="BH425" s="78"/>
      <c r="BI425" s="78"/>
      <c r="BJ425" s="78"/>
      <c r="BK425" s="78"/>
      <c r="BL425" s="78"/>
      <c r="BM425" s="78"/>
      <c r="BN425" s="78"/>
      <c r="BO425" s="78"/>
      <c r="BP425" s="78"/>
      <c r="BQ425" s="78"/>
      <c r="BR425" s="78"/>
      <c r="BS425" s="78"/>
      <c r="BT425" s="78"/>
      <c r="BU425" s="78"/>
      <c r="BV425" s="78"/>
      <c r="BW425" s="78"/>
      <c r="BX425" s="78"/>
      <c r="BY425" s="78"/>
      <c r="BZ425" s="78"/>
      <c r="CA425" s="78"/>
      <c r="CB425" s="78"/>
      <c r="CC425" s="78"/>
      <c r="CD425" s="78"/>
      <c r="CE425" s="78"/>
      <c r="CF425" s="80"/>
    </row>
    <row r="426" spans="1:84" ht="15.75" x14ac:dyDescent="0.25">
      <c r="A426" s="99" t="s">
        <v>600</v>
      </c>
      <c r="B426" s="100" t="s">
        <v>605</v>
      </c>
      <c r="C426" s="90"/>
      <c r="D426" s="106" t="s">
        <v>606</v>
      </c>
      <c r="E426" s="150"/>
      <c r="F426" s="124" t="s">
        <v>13</v>
      </c>
      <c r="G426" s="124" t="s">
        <v>13</v>
      </c>
      <c r="H426" s="126" t="s">
        <v>353</v>
      </c>
      <c r="I426" s="136">
        <v>0</v>
      </c>
      <c r="J426" s="125" t="s">
        <v>79</v>
      </c>
      <c r="K426" s="18">
        <v>46249</v>
      </c>
      <c r="L426" s="18">
        <v>46295</v>
      </c>
      <c r="M426" s="76"/>
      <c r="N426" s="77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92"/>
      <c r="AN426" s="92"/>
      <c r="AO426" s="92"/>
      <c r="AP426" s="92"/>
      <c r="AQ426" s="92"/>
      <c r="AR426" s="92"/>
      <c r="AS426" s="78"/>
      <c r="AT426" s="78"/>
      <c r="AU426" s="78"/>
      <c r="AV426" s="78"/>
      <c r="AW426" s="78"/>
      <c r="AX426" s="78"/>
      <c r="AY426" s="78"/>
      <c r="AZ426" s="78"/>
      <c r="BA426" s="78"/>
      <c r="BB426" s="78"/>
      <c r="BC426" s="78"/>
      <c r="BD426" s="78"/>
      <c r="BE426" s="78"/>
      <c r="BF426" s="78"/>
      <c r="BG426" s="78"/>
      <c r="BH426" s="78"/>
      <c r="BI426" s="78"/>
      <c r="BJ426" s="78"/>
      <c r="BK426" s="78"/>
      <c r="BL426" s="78"/>
      <c r="BM426" s="78"/>
      <c r="BN426" s="78"/>
      <c r="BO426" s="78"/>
      <c r="BP426" s="78"/>
      <c r="BQ426" s="78"/>
      <c r="BR426" s="78"/>
      <c r="BS426" s="78"/>
      <c r="BT426" s="78"/>
      <c r="BU426" s="78"/>
      <c r="BV426" s="78"/>
      <c r="BW426" s="78"/>
      <c r="BX426" s="78"/>
      <c r="BY426" s="78"/>
      <c r="BZ426" s="78"/>
      <c r="CA426" s="78"/>
      <c r="CB426" s="78"/>
      <c r="CC426" s="78"/>
      <c r="CD426" s="78"/>
      <c r="CE426" s="78"/>
      <c r="CF426" s="80"/>
    </row>
    <row r="427" spans="1:84" ht="15.75" x14ac:dyDescent="0.25">
      <c r="A427" s="99" t="s">
        <v>600</v>
      </c>
      <c r="B427" s="100" t="s">
        <v>607</v>
      </c>
      <c r="C427" s="90"/>
      <c r="D427" s="69" t="s">
        <v>340</v>
      </c>
      <c r="E427" s="150"/>
      <c r="F427" s="124" t="s">
        <v>13</v>
      </c>
      <c r="G427" s="124" t="s">
        <v>13</v>
      </c>
      <c r="H427" s="126" t="s">
        <v>353</v>
      </c>
      <c r="I427" s="75"/>
      <c r="J427" s="125" t="s">
        <v>79</v>
      </c>
      <c r="K427" s="18">
        <v>46296</v>
      </c>
      <c r="L427" s="18">
        <v>46433</v>
      </c>
      <c r="M427" s="76"/>
      <c r="N427" s="77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93"/>
      <c r="AT427" s="93"/>
      <c r="AU427" s="93"/>
      <c r="AV427" s="93"/>
      <c r="AW427" s="93"/>
      <c r="AX427" s="93"/>
      <c r="AY427" s="93"/>
      <c r="AZ427" s="93"/>
      <c r="BA427" s="93"/>
      <c r="BB427" s="93"/>
      <c r="BC427" s="93"/>
      <c r="BD427" s="93"/>
      <c r="BE427" s="93"/>
      <c r="BF427" s="93"/>
      <c r="BG427" s="93"/>
      <c r="BH427" s="93"/>
      <c r="BI427" s="93"/>
      <c r="BJ427" s="78"/>
      <c r="BK427" s="78"/>
      <c r="BL427" s="78"/>
      <c r="BM427" s="78"/>
      <c r="BN427" s="78"/>
      <c r="BO427" s="78"/>
      <c r="BP427" s="78"/>
      <c r="BQ427" s="78"/>
      <c r="BR427" s="78"/>
      <c r="BS427" s="78"/>
      <c r="BT427" s="78"/>
      <c r="BU427" s="78"/>
      <c r="BV427" s="78"/>
      <c r="BW427" s="78"/>
      <c r="BX427" s="78"/>
      <c r="BY427" s="78"/>
      <c r="BZ427" s="78"/>
      <c r="CA427" s="78"/>
      <c r="CB427" s="78"/>
      <c r="CC427" s="78"/>
      <c r="CD427" s="78"/>
      <c r="CE427" s="78"/>
      <c r="CF427" s="80"/>
    </row>
    <row r="428" spans="1:84" ht="15.75" x14ac:dyDescent="0.25">
      <c r="A428" s="99" t="s">
        <v>600</v>
      </c>
      <c r="B428" s="100" t="s">
        <v>608</v>
      </c>
      <c r="C428" s="73"/>
      <c r="D428" s="94" t="s">
        <v>609</v>
      </c>
      <c r="E428" s="150"/>
      <c r="F428" s="124" t="s">
        <v>13</v>
      </c>
      <c r="G428" s="124" t="s">
        <v>13</v>
      </c>
      <c r="H428" s="126" t="s">
        <v>353</v>
      </c>
      <c r="I428" s="136">
        <v>0</v>
      </c>
      <c r="J428" s="125" t="s">
        <v>79</v>
      </c>
      <c r="K428" s="18">
        <v>46296</v>
      </c>
      <c r="L428" s="18">
        <v>46433</v>
      </c>
      <c r="M428" s="76"/>
      <c r="N428" s="77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92"/>
      <c r="AT428" s="92"/>
      <c r="AU428" s="92"/>
      <c r="AV428" s="92"/>
      <c r="AW428" s="92"/>
      <c r="AX428" s="92"/>
      <c r="AY428" s="92"/>
      <c r="AZ428" s="92"/>
      <c r="BA428" s="92"/>
      <c r="BB428" s="92"/>
      <c r="BC428" s="92"/>
      <c r="BD428" s="92"/>
      <c r="BE428" s="92"/>
      <c r="BF428" s="92"/>
      <c r="BG428" s="92"/>
      <c r="BH428" s="92"/>
      <c r="BI428" s="92"/>
      <c r="BJ428" s="78"/>
      <c r="BK428" s="78"/>
      <c r="BL428" s="78"/>
      <c r="BM428" s="78"/>
      <c r="BN428" s="78"/>
      <c r="BO428" s="78"/>
      <c r="BP428" s="78"/>
      <c r="BQ428" s="78"/>
      <c r="BR428" s="78"/>
      <c r="BS428" s="78"/>
      <c r="BT428" s="78"/>
      <c r="BU428" s="78"/>
      <c r="BV428" s="78"/>
      <c r="BW428" s="78"/>
      <c r="BX428" s="78"/>
      <c r="BY428" s="78"/>
      <c r="BZ428" s="78"/>
      <c r="CA428" s="78"/>
      <c r="CB428" s="78"/>
      <c r="CC428" s="78"/>
      <c r="CD428" s="78"/>
      <c r="CE428" s="78"/>
      <c r="CF428" s="80"/>
    </row>
    <row r="429" spans="1:84" ht="15.75" x14ac:dyDescent="0.25">
      <c r="A429" s="99" t="s">
        <v>600</v>
      </c>
      <c r="B429" s="100" t="s">
        <v>610</v>
      </c>
      <c r="C429" s="90"/>
      <c r="D429" s="69" t="s">
        <v>352</v>
      </c>
      <c r="E429" s="150"/>
      <c r="F429" s="124" t="s">
        <v>13</v>
      </c>
      <c r="G429" s="124" t="s">
        <v>13</v>
      </c>
      <c r="H429" s="126" t="s">
        <v>353</v>
      </c>
      <c r="I429" s="75"/>
      <c r="J429" s="125" t="s">
        <v>79</v>
      </c>
      <c r="K429" s="18">
        <v>46419</v>
      </c>
      <c r="L429" s="18">
        <v>46461</v>
      </c>
      <c r="M429" s="76"/>
      <c r="N429" s="77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  <c r="AY429" s="78"/>
      <c r="AZ429" s="78"/>
      <c r="BA429" s="78"/>
      <c r="BB429" s="78"/>
      <c r="BC429" s="78"/>
      <c r="BD429" s="78"/>
      <c r="BE429" s="78"/>
      <c r="BF429" s="78"/>
      <c r="BG429" s="78"/>
      <c r="BH429" s="78"/>
      <c r="BI429" s="78"/>
      <c r="BJ429" s="93"/>
      <c r="BK429" s="93"/>
      <c r="BL429" s="93"/>
      <c r="BM429" s="93"/>
      <c r="BN429" s="78"/>
      <c r="BO429" s="78"/>
      <c r="BP429" s="78"/>
      <c r="BQ429" s="78"/>
      <c r="BR429" s="78"/>
      <c r="BS429" s="78"/>
      <c r="BT429" s="78"/>
      <c r="BU429" s="78"/>
      <c r="BV429" s="78"/>
      <c r="BW429" s="78"/>
      <c r="BX429" s="78"/>
      <c r="BY429" s="78"/>
      <c r="BZ429" s="78"/>
      <c r="CA429" s="78"/>
      <c r="CB429" s="78"/>
      <c r="CC429" s="78"/>
      <c r="CD429" s="78"/>
      <c r="CE429" s="78"/>
      <c r="CF429" s="80"/>
    </row>
    <row r="430" spans="1:84" ht="15.75" x14ac:dyDescent="0.25">
      <c r="A430" s="99" t="s">
        <v>600</v>
      </c>
      <c r="B430" s="100" t="s">
        <v>611</v>
      </c>
      <c r="C430" s="73"/>
      <c r="D430" s="94" t="s">
        <v>612</v>
      </c>
      <c r="E430" s="150"/>
      <c r="F430" s="124" t="s">
        <v>13</v>
      </c>
      <c r="G430" s="124" t="s">
        <v>13</v>
      </c>
      <c r="H430" s="126" t="s">
        <v>353</v>
      </c>
      <c r="I430" s="136">
        <v>0</v>
      </c>
      <c r="J430" s="125" t="s">
        <v>79</v>
      </c>
      <c r="K430" s="18">
        <v>46419</v>
      </c>
      <c r="L430" s="18">
        <v>46461</v>
      </c>
      <c r="M430" s="76"/>
      <c r="N430" s="77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  <c r="AY430" s="78"/>
      <c r="AZ430" s="78"/>
      <c r="BA430" s="78"/>
      <c r="BB430" s="78"/>
      <c r="BC430" s="78"/>
      <c r="BD430" s="78"/>
      <c r="BE430" s="78"/>
      <c r="BF430" s="78"/>
      <c r="BG430" s="78"/>
      <c r="BH430" s="78"/>
      <c r="BI430" s="78"/>
      <c r="BJ430" s="92"/>
      <c r="BK430" s="92"/>
      <c r="BL430" s="92"/>
      <c r="BM430" s="92"/>
      <c r="BN430" s="78"/>
      <c r="BO430" s="78"/>
      <c r="BP430" s="78"/>
      <c r="BQ430" s="78"/>
      <c r="BR430" s="78"/>
      <c r="BS430" s="78"/>
      <c r="BT430" s="78"/>
      <c r="BU430" s="78"/>
      <c r="BV430" s="78"/>
      <c r="BW430" s="78"/>
      <c r="BX430" s="78"/>
      <c r="BY430" s="78"/>
      <c r="BZ430" s="78"/>
      <c r="CA430" s="78"/>
      <c r="CB430" s="78"/>
      <c r="CC430" s="78"/>
      <c r="CD430" s="78"/>
      <c r="CE430" s="78"/>
      <c r="CF430" s="80"/>
    </row>
    <row r="431" spans="1:84" ht="15.75" x14ac:dyDescent="0.25">
      <c r="A431" s="99" t="s">
        <v>600</v>
      </c>
      <c r="B431" s="100" t="s">
        <v>613</v>
      </c>
      <c r="C431" s="73"/>
      <c r="D431" s="94" t="s">
        <v>614</v>
      </c>
      <c r="E431" s="150"/>
      <c r="F431" s="124" t="s">
        <v>13</v>
      </c>
      <c r="G431" s="124" t="s">
        <v>13</v>
      </c>
      <c r="H431" s="126" t="s">
        <v>353</v>
      </c>
      <c r="I431" s="136">
        <v>0</v>
      </c>
      <c r="J431" s="125" t="s">
        <v>79</v>
      </c>
      <c r="K431" s="18">
        <v>46419</v>
      </c>
      <c r="L431" s="18">
        <v>46446</v>
      </c>
      <c r="M431" s="76"/>
      <c r="N431" s="77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  <c r="AY431" s="78"/>
      <c r="AZ431" s="78"/>
      <c r="BA431" s="78"/>
      <c r="BB431" s="78"/>
      <c r="BC431" s="78"/>
      <c r="BD431" s="78"/>
      <c r="BE431" s="78"/>
      <c r="BF431" s="78"/>
      <c r="BG431" s="78"/>
      <c r="BH431" s="78"/>
      <c r="BI431" s="78"/>
      <c r="BJ431" s="92"/>
      <c r="BK431" s="92"/>
      <c r="BL431" s="78"/>
      <c r="BM431" s="78"/>
      <c r="BN431" s="78"/>
      <c r="BO431" s="78"/>
      <c r="BP431" s="78"/>
      <c r="BQ431" s="78"/>
      <c r="BR431" s="78"/>
      <c r="BS431" s="78"/>
      <c r="BT431" s="78"/>
      <c r="BU431" s="78"/>
      <c r="BV431" s="78"/>
      <c r="BW431" s="78"/>
      <c r="BX431" s="78"/>
      <c r="BY431" s="78"/>
      <c r="BZ431" s="78"/>
      <c r="CA431" s="78"/>
      <c r="CB431" s="78"/>
      <c r="CC431" s="78"/>
      <c r="CD431" s="78"/>
      <c r="CE431" s="78"/>
      <c r="CF431" s="80"/>
    </row>
    <row r="432" spans="1:84" ht="15.75" x14ac:dyDescent="0.25">
      <c r="A432" s="99" t="s">
        <v>600</v>
      </c>
      <c r="B432" s="100" t="s">
        <v>615</v>
      </c>
      <c r="C432" s="73"/>
      <c r="D432" s="94" t="s">
        <v>362</v>
      </c>
      <c r="E432" s="150"/>
      <c r="F432" s="124" t="s">
        <v>13</v>
      </c>
      <c r="G432" s="124" t="s">
        <v>13</v>
      </c>
      <c r="H432" s="126" t="s">
        <v>353</v>
      </c>
      <c r="I432" s="136">
        <v>0</v>
      </c>
      <c r="J432" s="125" t="s">
        <v>79</v>
      </c>
      <c r="K432" s="18">
        <v>46433</v>
      </c>
      <c r="L432" s="18">
        <v>46461</v>
      </c>
      <c r="M432" s="76"/>
      <c r="N432" s="77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  <c r="AY432" s="78"/>
      <c r="AZ432" s="78"/>
      <c r="BA432" s="78"/>
      <c r="BB432" s="78"/>
      <c r="BC432" s="78"/>
      <c r="BD432" s="78"/>
      <c r="BE432" s="78"/>
      <c r="BF432" s="78"/>
      <c r="BG432" s="78"/>
      <c r="BH432" s="78"/>
      <c r="BI432" s="78"/>
      <c r="BJ432" s="78"/>
      <c r="BK432" s="78"/>
      <c r="BL432" s="79"/>
      <c r="BM432" s="79"/>
      <c r="BN432" s="78"/>
      <c r="BO432" s="78"/>
      <c r="BP432" s="78"/>
      <c r="BQ432" s="78"/>
      <c r="BR432" s="78"/>
      <c r="BS432" s="78"/>
      <c r="BT432" s="78"/>
      <c r="BU432" s="78"/>
      <c r="BV432" s="78"/>
      <c r="BW432" s="78"/>
      <c r="BX432" s="78"/>
      <c r="BY432" s="78"/>
      <c r="BZ432" s="78"/>
      <c r="CA432" s="78"/>
      <c r="CB432" s="78"/>
      <c r="CC432" s="78"/>
      <c r="CD432" s="78"/>
      <c r="CE432" s="78"/>
      <c r="CF432" s="80"/>
    </row>
    <row r="433" spans="1:84" ht="15.75" x14ac:dyDescent="0.25">
      <c r="A433" s="99" t="s">
        <v>600</v>
      </c>
      <c r="B433" s="100" t="s">
        <v>616</v>
      </c>
      <c r="C433" s="90"/>
      <c r="D433" s="69" t="s">
        <v>364</v>
      </c>
      <c r="E433" s="150"/>
      <c r="F433" s="124" t="s">
        <v>13</v>
      </c>
      <c r="G433" s="124" t="s">
        <v>13</v>
      </c>
      <c r="H433" s="126" t="s">
        <v>353</v>
      </c>
      <c r="I433" s="75"/>
      <c r="J433" s="125" t="s">
        <v>79</v>
      </c>
      <c r="K433" s="18">
        <v>46447</v>
      </c>
      <c r="L433" s="18">
        <v>46492</v>
      </c>
      <c r="M433" s="76"/>
      <c r="N433" s="77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  <c r="AY433" s="78"/>
      <c r="AZ433" s="78"/>
      <c r="BA433" s="78"/>
      <c r="BB433" s="78"/>
      <c r="BC433" s="78"/>
      <c r="BD433" s="78"/>
      <c r="BE433" s="78"/>
      <c r="BF433" s="78"/>
      <c r="BG433" s="78"/>
      <c r="BH433" s="78"/>
      <c r="BI433" s="78"/>
      <c r="BJ433" s="78"/>
      <c r="BK433" s="78"/>
      <c r="BL433" s="78"/>
      <c r="BM433" s="78"/>
      <c r="BN433" s="93"/>
      <c r="BO433" s="93"/>
      <c r="BP433" s="93"/>
      <c r="BQ433" s="93"/>
      <c r="BR433" s="93"/>
      <c r="BS433" s="78"/>
      <c r="BT433" s="78"/>
      <c r="BU433" s="78"/>
      <c r="BV433" s="78"/>
      <c r="BW433" s="78"/>
      <c r="BX433" s="78"/>
      <c r="BY433" s="78"/>
      <c r="BZ433" s="78"/>
      <c r="CA433" s="78"/>
      <c r="CB433" s="78"/>
      <c r="CC433" s="78"/>
      <c r="CD433" s="78"/>
      <c r="CE433" s="78"/>
      <c r="CF433" s="80"/>
    </row>
    <row r="434" spans="1:84" ht="15.75" x14ac:dyDescent="0.25">
      <c r="A434" s="99" t="s">
        <v>600</v>
      </c>
      <c r="B434" s="100" t="s">
        <v>617</v>
      </c>
      <c r="C434" s="73"/>
      <c r="D434" s="94" t="s">
        <v>618</v>
      </c>
      <c r="E434" s="150"/>
      <c r="F434" s="124" t="s">
        <v>13</v>
      </c>
      <c r="G434" s="124" t="s">
        <v>13</v>
      </c>
      <c r="H434" s="126" t="s">
        <v>353</v>
      </c>
      <c r="I434" s="136">
        <v>0</v>
      </c>
      <c r="J434" s="125" t="s">
        <v>79</v>
      </c>
      <c r="K434" s="18">
        <v>46447</v>
      </c>
      <c r="L434" s="18">
        <v>46492</v>
      </c>
      <c r="M434" s="76"/>
      <c r="N434" s="77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  <c r="AY434" s="78"/>
      <c r="AZ434" s="78"/>
      <c r="BA434" s="78"/>
      <c r="BB434" s="78"/>
      <c r="BC434" s="78"/>
      <c r="BD434" s="78"/>
      <c r="BE434" s="78"/>
      <c r="BF434" s="78"/>
      <c r="BG434" s="78"/>
      <c r="BH434" s="78"/>
      <c r="BI434" s="78"/>
      <c r="BJ434" s="78"/>
      <c r="BK434" s="78"/>
      <c r="BL434" s="78"/>
      <c r="BM434" s="78"/>
      <c r="BN434" s="92"/>
      <c r="BO434" s="92"/>
      <c r="BP434" s="92"/>
      <c r="BQ434" s="92"/>
      <c r="BR434" s="92"/>
      <c r="BS434" s="78"/>
      <c r="BT434" s="78"/>
      <c r="BU434" s="78"/>
      <c r="BV434" s="78"/>
      <c r="BW434" s="78"/>
      <c r="BX434" s="78"/>
      <c r="BY434" s="78"/>
      <c r="BZ434" s="78"/>
      <c r="CA434" s="78"/>
      <c r="CB434" s="78"/>
      <c r="CC434" s="78"/>
      <c r="CD434" s="78"/>
      <c r="CE434" s="78"/>
      <c r="CF434" s="80"/>
    </row>
    <row r="435" spans="1:84" ht="15.75" x14ac:dyDescent="0.25">
      <c r="A435" s="99" t="s">
        <v>600</v>
      </c>
      <c r="B435" s="100" t="s">
        <v>619</v>
      </c>
      <c r="C435" s="73"/>
      <c r="D435" s="94" t="s">
        <v>620</v>
      </c>
      <c r="E435" s="150"/>
      <c r="F435" s="124" t="s">
        <v>13</v>
      </c>
      <c r="G435" s="124" t="s">
        <v>13</v>
      </c>
      <c r="H435" s="126" t="s">
        <v>353</v>
      </c>
      <c r="I435" s="136">
        <v>0</v>
      </c>
      <c r="J435" s="125" t="s">
        <v>79</v>
      </c>
      <c r="K435" s="18">
        <v>46478</v>
      </c>
      <c r="L435" s="18">
        <v>46492</v>
      </c>
      <c r="M435" s="76"/>
      <c r="N435" s="77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  <c r="AY435" s="78"/>
      <c r="AZ435" s="78"/>
      <c r="BA435" s="78"/>
      <c r="BB435" s="78"/>
      <c r="BC435" s="78"/>
      <c r="BD435" s="78"/>
      <c r="BE435" s="78"/>
      <c r="BF435" s="78"/>
      <c r="BG435" s="78"/>
      <c r="BH435" s="78"/>
      <c r="BI435" s="78"/>
      <c r="BJ435" s="78"/>
      <c r="BK435" s="78"/>
      <c r="BL435" s="78"/>
      <c r="BM435" s="78"/>
      <c r="BN435" s="78"/>
      <c r="BO435" s="78"/>
      <c r="BP435" s="78"/>
      <c r="BQ435" s="92"/>
      <c r="BR435" s="92"/>
      <c r="BS435" s="78"/>
      <c r="BT435" s="78"/>
      <c r="BU435" s="78"/>
      <c r="BV435" s="78"/>
      <c r="BW435" s="78"/>
      <c r="BX435" s="78"/>
      <c r="BY435" s="78"/>
      <c r="BZ435" s="78"/>
      <c r="CA435" s="78"/>
      <c r="CB435" s="78"/>
      <c r="CC435" s="78"/>
      <c r="CD435" s="78"/>
      <c r="CE435" s="78"/>
      <c r="CF435" s="80"/>
    </row>
    <row r="436" spans="1:84" ht="15.75" x14ac:dyDescent="0.25">
      <c r="A436" s="99" t="s">
        <v>600</v>
      </c>
      <c r="B436" s="100" t="s">
        <v>621</v>
      </c>
      <c r="C436" s="73"/>
      <c r="D436" s="94" t="s">
        <v>622</v>
      </c>
      <c r="E436" s="150"/>
      <c r="F436" s="124" t="s">
        <v>13</v>
      </c>
      <c r="G436" s="124" t="s">
        <v>13</v>
      </c>
      <c r="H436" s="126" t="s">
        <v>353</v>
      </c>
      <c r="I436" s="136">
        <v>0</v>
      </c>
      <c r="J436" s="125" t="s">
        <v>79</v>
      </c>
      <c r="K436" s="18">
        <v>46478</v>
      </c>
      <c r="L436" s="18">
        <v>46492</v>
      </c>
      <c r="M436" s="76"/>
      <c r="N436" s="77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78"/>
      <c r="AZ436" s="78"/>
      <c r="BA436" s="78"/>
      <c r="BB436" s="78"/>
      <c r="BC436" s="78"/>
      <c r="BD436" s="78"/>
      <c r="BE436" s="78"/>
      <c r="BF436" s="78"/>
      <c r="BG436" s="78"/>
      <c r="BH436" s="78"/>
      <c r="BI436" s="78"/>
      <c r="BJ436" s="78"/>
      <c r="BK436" s="78"/>
      <c r="BL436" s="78"/>
      <c r="BM436" s="78"/>
      <c r="BN436" s="78"/>
      <c r="BO436" s="78"/>
      <c r="BP436" s="78"/>
      <c r="BQ436" s="92"/>
      <c r="BR436" s="92"/>
      <c r="BS436" s="78"/>
      <c r="BT436" s="78"/>
      <c r="BU436" s="78"/>
      <c r="BV436" s="78"/>
      <c r="BW436" s="78"/>
      <c r="BX436" s="78"/>
      <c r="BY436" s="78"/>
      <c r="BZ436" s="78"/>
      <c r="CA436" s="78"/>
      <c r="CB436" s="78"/>
      <c r="CC436" s="78"/>
      <c r="CD436" s="78"/>
      <c r="CE436" s="78"/>
      <c r="CF436" s="80"/>
    </row>
    <row r="437" spans="1:84" ht="15.75" x14ac:dyDescent="0.25">
      <c r="A437" s="99" t="s">
        <v>600</v>
      </c>
      <c r="B437" s="100" t="s">
        <v>623</v>
      </c>
      <c r="C437" s="73"/>
      <c r="D437" s="94" t="s">
        <v>373</v>
      </c>
      <c r="E437" s="150"/>
      <c r="F437" s="124" t="s">
        <v>13</v>
      </c>
      <c r="G437" s="124" t="s">
        <v>13</v>
      </c>
      <c r="H437" s="126" t="s">
        <v>353</v>
      </c>
      <c r="I437" s="136">
        <v>0</v>
      </c>
      <c r="J437" s="125" t="s">
        <v>79</v>
      </c>
      <c r="K437" s="18">
        <v>46478</v>
      </c>
      <c r="L437" s="18">
        <v>46492</v>
      </c>
      <c r="M437" s="76"/>
      <c r="N437" s="77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  <c r="AY437" s="78"/>
      <c r="AZ437" s="78"/>
      <c r="BA437" s="78"/>
      <c r="BB437" s="78"/>
      <c r="BC437" s="78"/>
      <c r="BD437" s="78"/>
      <c r="BE437" s="78"/>
      <c r="BF437" s="78"/>
      <c r="BG437" s="78"/>
      <c r="BH437" s="78"/>
      <c r="BI437" s="78"/>
      <c r="BJ437" s="78"/>
      <c r="BK437" s="78"/>
      <c r="BL437" s="78"/>
      <c r="BM437" s="78"/>
      <c r="BN437" s="78"/>
      <c r="BO437" s="78"/>
      <c r="BP437" s="78"/>
      <c r="BQ437" s="79"/>
      <c r="BR437" s="79"/>
      <c r="BS437" s="78"/>
      <c r="BT437" s="78"/>
      <c r="BU437" s="78"/>
      <c r="BV437" s="78"/>
      <c r="BW437" s="78"/>
      <c r="BX437" s="78"/>
      <c r="BY437" s="78"/>
      <c r="BZ437" s="78"/>
      <c r="CA437" s="78"/>
      <c r="CB437" s="78"/>
      <c r="CC437" s="78"/>
      <c r="CD437" s="78"/>
      <c r="CE437" s="78"/>
      <c r="CF437" s="80"/>
    </row>
    <row r="438" spans="1:84" ht="15.75" x14ac:dyDescent="0.25">
      <c r="A438" s="99" t="s">
        <v>600</v>
      </c>
      <c r="B438" s="100" t="s">
        <v>624</v>
      </c>
      <c r="C438" s="90"/>
      <c r="D438" s="69" t="s">
        <v>375</v>
      </c>
      <c r="E438" s="150"/>
      <c r="F438" s="124" t="s">
        <v>13</v>
      </c>
      <c r="G438" s="124" t="s">
        <v>13</v>
      </c>
      <c r="H438" s="126" t="s">
        <v>353</v>
      </c>
      <c r="I438" s="75"/>
      <c r="J438" s="125" t="s">
        <v>79</v>
      </c>
      <c r="K438" s="18">
        <v>46492</v>
      </c>
      <c r="L438" s="18">
        <v>46522</v>
      </c>
      <c r="M438" s="76"/>
      <c r="N438" s="77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  <c r="AY438" s="78"/>
      <c r="AZ438" s="78"/>
      <c r="BA438" s="78"/>
      <c r="BB438" s="78"/>
      <c r="BC438" s="78"/>
      <c r="BD438" s="78"/>
      <c r="BE438" s="78"/>
      <c r="BF438" s="78"/>
      <c r="BG438" s="78"/>
      <c r="BH438" s="78"/>
      <c r="BI438" s="78"/>
      <c r="BJ438" s="78"/>
      <c r="BK438" s="78"/>
      <c r="BL438" s="78"/>
      <c r="BM438" s="78"/>
      <c r="BN438" s="78"/>
      <c r="BO438" s="78"/>
      <c r="BP438" s="78"/>
      <c r="BQ438" s="78"/>
      <c r="BR438" s="78"/>
      <c r="BS438" s="93"/>
      <c r="BT438" s="93"/>
      <c r="BU438" s="93"/>
      <c r="BV438" s="93"/>
      <c r="BW438" s="78"/>
      <c r="BX438" s="78"/>
      <c r="BY438" s="78"/>
      <c r="BZ438" s="78"/>
      <c r="CA438" s="78"/>
      <c r="CB438" s="78"/>
      <c r="CC438" s="78"/>
      <c r="CD438" s="78"/>
      <c r="CE438" s="78"/>
      <c r="CF438" s="80"/>
    </row>
    <row r="439" spans="1:84" ht="15.75" x14ac:dyDescent="0.25">
      <c r="A439" s="99" t="s">
        <v>600</v>
      </c>
      <c r="B439" s="100" t="s">
        <v>625</v>
      </c>
      <c r="C439" s="73"/>
      <c r="D439" s="94" t="s">
        <v>626</v>
      </c>
      <c r="E439" s="150"/>
      <c r="F439" s="124" t="s">
        <v>13</v>
      </c>
      <c r="G439" s="124" t="s">
        <v>13</v>
      </c>
      <c r="H439" s="126" t="s">
        <v>353</v>
      </c>
      <c r="I439" s="136">
        <v>0</v>
      </c>
      <c r="J439" s="125" t="s">
        <v>79</v>
      </c>
      <c r="K439" s="18">
        <v>46492</v>
      </c>
      <c r="L439" s="18">
        <v>46522</v>
      </c>
      <c r="M439" s="76"/>
      <c r="N439" s="77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  <c r="AY439" s="78"/>
      <c r="AZ439" s="78"/>
      <c r="BA439" s="78"/>
      <c r="BB439" s="78"/>
      <c r="BC439" s="78"/>
      <c r="BD439" s="78"/>
      <c r="BE439" s="78"/>
      <c r="BF439" s="78"/>
      <c r="BG439" s="78"/>
      <c r="BH439" s="78"/>
      <c r="BI439" s="78"/>
      <c r="BJ439" s="78"/>
      <c r="BK439" s="78"/>
      <c r="BL439" s="78"/>
      <c r="BM439" s="78"/>
      <c r="BN439" s="78"/>
      <c r="BO439" s="78"/>
      <c r="BP439" s="78"/>
      <c r="BQ439" s="78"/>
      <c r="BR439" s="78"/>
      <c r="BS439" s="92"/>
      <c r="BT439" s="92"/>
      <c r="BU439" s="92"/>
      <c r="BV439" s="92"/>
      <c r="BW439" s="78"/>
      <c r="BX439" s="78"/>
      <c r="BY439" s="78"/>
      <c r="BZ439" s="78"/>
      <c r="CA439" s="78"/>
      <c r="CB439" s="78"/>
      <c r="CC439" s="78"/>
      <c r="CD439" s="78"/>
      <c r="CE439" s="78"/>
      <c r="CF439" s="80"/>
    </row>
    <row r="440" spans="1:84" ht="15.75" x14ac:dyDescent="0.25">
      <c r="A440" s="99" t="s">
        <v>600</v>
      </c>
      <c r="B440" s="100" t="s">
        <v>627</v>
      </c>
      <c r="C440" s="73"/>
      <c r="D440" s="94" t="s">
        <v>628</v>
      </c>
      <c r="E440" s="150"/>
      <c r="F440" s="124" t="s">
        <v>13</v>
      </c>
      <c r="G440" s="124" t="s">
        <v>13</v>
      </c>
      <c r="H440" s="126" t="s">
        <v>353</v>
      </c>
      <c r="I440" s="136">
        <v>0</v>
      </c>
      <c r="J440" s="125" t="s">
        <v>79</v>
      </c>
      <c r="K440" s="18">
        <v>46508</v>
      </c>
      <c r="L440" s="18">
        <v>46522</v>
      </c>
      <c r="M440" s="76"/>
      <c r="N440" s="77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  <c r="AY440" s="78"/>
      <c r="AZ440" s="78"/>
      <c r="BA440" s="78"/>
      <c r="BB440" s="78"/>
      <c r="BC440" s="78"/>
      <c r="BD440" s="78"/>
      <c r="BE440" s="78"/>
      <c r="BF440" s="78"/>
      <c r="BG440" s="78"/>
      <c r="BH440" s="78"/>
      <c r="BI440" s="78"/>
      <c r="BJ440" s="78"/>
      <c r="BK440" s="78"/>
      <c r="BL440" s="78"/>
      <c r="BM440" s="78"/>
      <c r="BN440" s="78"/>
      <c r="BO440" s="78"/>
      <c r="BP440" s="78"/>
      <c r="BQ440" s="78"/>
      <c r="BR440" s="78"/>
      <c r="BS440" s="78"/>
      <c r="BT440" s="78"/>
      <c r="BU440" s="92"/>
      <c r="BV440" s="92"/>
      <c r="BW440" s="78"/>
      <c r="BX440" s="78"/>
      <c r="BY440" s="78"/>
      <c r="BZ440" s="78"/>
      <c r="CA440" s="78"/>
      <c r="CB440" s="78"/>
      <c r="CC440" s="78"/>
      <c r="CD440" s="78"/>
      <c r="CE440" s="78"/>
      <c r="CF440" s="80"/>
    </row>
    <row r="441" spans="1:84" ht="15.75" x14ac:dyDescent="0.25">
      <c r="A441" s="99" t="s">
        <v>600</v>
      </c>
      <c r="B441" s="100" t="s">
        <v>629</v>
      </c>
      <c r="C441" s="73"/>
      <c r="D441" s="94" t="s">
        <v>630</v>
      </c>
      <c r="E441" s="150"/>
      <c r="F441" s="124" t="s">
        <v>13</v>
      </c>
      <c r="G441" s="124" t="s">
        <v>13</v>
      </c>
      <c r="H441" s="126" t="s">
        <v>353</v>
      </c>
      <c r="I441" s="136">
        <v>0</v>
      </c>
      <c r="J441" s="125" t="s">
        <v>79</v>
      </c>
      <c r="K441" s="18">
        <v>46508</v>
      </c>
      <c r="L441" s="18">
        <v>46522</v>
      </c>
      <c r="M441" s="76"/>
      <c r="N441" s="77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  <c r="AY441" s="78"/>
      <c r="AZ441" s="78"/>
      <c r="BA441" s="78"/>
      <c r="BB441" s="78"/>
      <c r="BC441" s="78"/>
      <c r="BD441" s="78"/>
      <c r="BE441" s="78"/>
      <c r="BF441" s="78"/>
      <c r="BG441" s="78"/>
      <c r="BH441" s="78"/>
      <c r="BI441" s="78"/>
      <c r="BJ441" s="78"/>
      <c r="BK441" s="78"/>
      <c r="BL441" s="78"/>
      <c r="BM441" s="78"/>
      <c r="BN441" s="78"/>
      <c r="BO441" s="78"/>
      <c r="BP441" s="78"/>
      <c r="BQ441" s="78"/>
      <c r="BR441" s="78"/>
      <c r="BS441" s="78"/>
      <c r="BT441" s="78"/>
      <c r="BU441" s="92"/>
      <c r="BV441" s="92"/>
      <c r="BW441" s="78"/>
      <c r="BX441" s="78"/>
      <c r="BY441" s="78"/>
      <c r="BZ441" s="78"/>
      <c r="CA441" s="78"/>
      <c r="CB441" s="78"/>
      <c r="CC441" s="78"/>
      <c r="CD441" s="78"/>
      <c r="CE441" s="78"/>
      <c r="CF441" s="80"/>
    </row>
    <row r="442" spans="1:84" ht="31.5" x14ac:dyDescent="0.25">
      <c r="A442" s="99" t="s">
        <v>600</v>
      </c>
      <c r="B442" s="100" t="s">
        <v>631</v>
      </c>
      <c r="C442" s="84"/>
      <c r="D442" s="15" t="s">
        <v>385</v>
      </c>
      <c r="E442" s="150"/>
      <c r="F442" s="124" t="s">
        <v>310</v>
      </c>
      <c r="G442" s="124" t="s">
        <v>13</v>
      </c>
      <c r="H442" s="126" t="s">
        <v>353</v>
      </c>
      <c r="I442" s="136">
        <v>0</v>
      </c>
      <c r="J442" s="125" t="s">
        <v>79</v>
      </c>
      <c r="K442" s="18">
        <v>46508</v>
      </c>
      <c r="L442" s="18">
        <v>46522</v>
      </c>
      <c r="M442" s="76"/>
      <c r="N442" s="77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  <c r="AQ442" s="86"/>
      <c r="AR442" s="86"/>
      <c r="AS442" s="86"/>
      <c r="AT442" s="86"/>
      <c r="AU442" s="86"/>
      <c r="AV442" s="86"/>
      <c r="AW442" s="86"/>
      <c r="AX442" s="86"/>
      <c r="AY442" s="86"/>
      <c r="AZ442" s="86"/>
      <c r="BA442" s="86"/>
      <c r="BB442" s="86"/>
      <c r="BC442" s="86"/>
      <c r="BD442" s="86"/>
      <c r="BE442" s="86"/>
      <c r="BF442" s="86"/>
      <c r="BG442" s="86"/>
      <c r="BH442" s="86"/>
      <c r="BI442" s="86"/>
      <c r="BJ442" s="86"/>
      <c r="BK442" s="86"/>
      <c r="BL442" s="86"/>
      <c r="BM442" s="86"/>
      <c r="BN442" s="86"/>
      <c r="BO442" s="86"/>
      <c r="BP442" s="86"/>
      <c r="BQ442" s="86"/>
      <c r="BR442" s="86"/>
      <c r="BS442" s="86"/>
      <c r="BT442" s="86"/>
      <c r="BU442" s="87"/>
      <c r="BV442" s="87"/>
      <c r="BW442" s="86"/>
      <c r="BX442" s="86"/>
      <c r="BY442" s="86"/>
      <c r="BZ442" s="86"/>
      <c r="CA442" s="86"/>
      <c r="CB442" s="86"/>
      <c r="CC442" s="86"/>
      <c r="CD442" s="86"/>
      <c r="CE442" s="86"/>
      <c r="CF442" s="88"/>
    </row>
    <row r="443" spans="1:84" ht="15.75" x14ac:dyDescent="0.25">
      <c r="A443" s="99" t="s">
        <v>600</v>
      </c>
      <c r="B443" s="100" t="s">
        <v>632</v>
      </c>
      <c r="C443" s="84"/>
      <c r="D443" s="15" t="s">
        <v>387</v>
      </c>
      <c r="E443" s="150"/>
      <c r="F443" s="124" t="s">
        <v>274</v>
      </c>
      <c r="G443" s="124" t="s">
        <v>13</v>
      </c>
      <c r="H443" s="126" t="s">
        <v>353</v>
      </c>
      <c r="I443" s="136">
        <v>0</v>
      </c>
      <c r="J443" s="125" t="s">
        <v>79</v>
      </c>
      <c r="K443" s="18">
        <v>46508</v>
      </c>
      <c r="L443" s="18">
        <v>46522</v>
      </c>
      <c r="M443" s="76"/>
      <c r="N443" s="77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  <c r="AQ443" s="86"/>
      <c r="AR443" s="86"/>
      <c r="AS443" s="86"/>
      <c r="AT443" s="86"/>
      <c r="AU443" s="86"/>
      <c r="AV443" s="86"/>
      <c r="AW443" s="86"/>
      <c r="AX443" s="86"/>
      <c r="AY443" s="86"/>
      <c r="AZ443" s="86"/>
      <c r="BA443" s="86"/>
      <c r="BB443" s="86"/>
      <c r="BC443" s="86"/>
      <c r="BD443" s="86"/>
      <c r="BE443" s="86"/>
      <c r="BF443" s="86"/>
      <c r="BG443" s="86"/>
      <c r="BH443" s="86"/>
      <c r="BI443" s="86"/>
      <c r="BJ443" s="86"/>
      <c r="BK443" s="86"/>
      <c r="BL443" s="86"/>
      <c r="BM443" s="86"/>
      <c r="BN443" s="86"/>
      <c r="BO443" s="86"/>
      <c r="BP443" s="86"/>
      <c r="BQ443" s="86"/>
      <c r="BR443" s="86"/>
      <c r="BS443" s="86"/>
      <c r="BT443" s="86"/>
      <c r="BU443" s="87"/>
      <c r="BV443" s="87"/>
      <c r="BW443" s="86"/>
      <c r="BX443" s="86"/>
      <c r="BY443" s="86"/>
      <c r="BZ443" s="86"/>
      <c r="CA443" s="86"/>
      <c r="CB443" s="86"/>
      <c r="CC443" s="86"/>
      <c r="CD443" s="86"/>
      <c r="CE443" s="86"/>
      <c r="CF443" s="88"/>
    </row>
    <row r="444" spans="1:84" ht="47.25" x14ac:dyDescent="0.25">
      <c r="A444" s="99" t="s">
        <v>600</v>
      </c>
      <c r="B444" s="100" t="s">
        <v>633</v>
      </c>
      <c r="C444" s="84"/>
      <c r="D444" s="43" t="s">
        <v>634</v>
      </c>
      <c r="E444" s="150"/>
      <c r="F444" s="124" t="s">
        <v>13</v>
      </c>
      <c r="G444" s="124" t="s">
        <v>635</v>
      </c>
      <c r="H444" s="126" t="s">
        <v>353</v>
      </c>
      <c r="I444" s="136">
        <v>0</v>
      </c>
      <c r="J444" s="125" t="s">
        <v>79</v>
      </c>
      <c r="K444" s="18">
        <v>46508</v>
      </c>
      <c r="L444" s="18">
        <v>46522</v>
      </c>
      <c r="M444" s="76"/>
      <c r="N444" s="77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  <c r="AQ444" s="86"/>
      <c r="AR444" s="86"/>
      <c r="AS444" s="86"/>
      <c r="AT444" s="86"/>
      <c r="AU444" s="86"/>
      <c r="AV444" s="86"/>
      <c r="AW444" s="86"/>
      <c r="AX444" s="86"/>
      <c r="AY444" s="86"/>
      <c r="AZ444" s="86"/>
      <c r="BA444" s="86"/>
      <c r="BB444" s="86"/>
      <c r="BC444" s="86"/>
      <c r="BD444" s="86"/>
      <c r="BE444" s="86"/>
      <c r="BF444" s="86"/>
      <c r="BG444" s="86"/>
      <c r="BH444" s="86"/>
      <c r="BI444" s="86"/>
      <c r="BJ444" s="86"/>
      <c r="BK444" s="86"/>
      <c r="BL444" s="86"/>
      <c r="BM444" s="86"/>
      <c r="BN444" s="86"/>
      <c r="BO444" s="86"/>
      <c r="BP444" s="86"/>
      <c r="BQ444" s="86"/>
      <c r="BR444" s="86"/>
      <c r="BS444" s="86"/>
      <c r="BT444" s="86"/>
      <c r="BU444" s="86"/>
      <c r="BV444" s="89"/>
      <c r="BW444" s="86"/>
      <c r="BX444" s="86"/>
      <c r="BY444" s="86"/>
      <c r="BZ444" s="86"/>
      <c r="CA444" s="86"/>
      <c r="CB444" s="86"/>
      <c r="CC444" s="86"/>
      <c r="CD444" s="86"/>
      <c r="CE444" s="86"/>
      <c r="CF444" s="88"/>
    </row>
    <row r="445" spans="1:84" ht="15.75" x14ac:dyDescent="0.25">
      <c r="A445" s="99" t="s">
        <v>636</v>
      </c>
      <c r="B445" s="13">
        <v>8</v>
      </c>
      <c r="C445" s="101"/>
      <c r="D445" s="37" t="s">
        <v>637</v>
      </c>
      <c r="E445" s="150"/>
      <c r="F445" s="124" t="s">
        <v>13</v>
      </c>
      <c r="G445" s="124" t="s">
        <v>13</v>
      </c>
      <c r="H445" s="129" t="s">
        <v>353</v>
      </c>
      <c r="I445" s="105"/>
      <c r="J445" s="124" t="s">
        <v>79</v>
      </c>
      <c r="K445" s="18">
        <v>46249</v>
      </c>
      <c r="L445" s="18">
        <v>46522</v>
      </c>
      <c r="M445" s="76"/>
      <c r="N445" s="77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104"/>
      <c r="AN445" s="104"/>
      <c r="AO445" s="104"/>
      <c r="AP445" s="104"/>
      <c r="AQ445" s="104"/>
      <c r="AR445" s="104"/>
      <c r="AS445" s="104"/>
      <c r="AT445" s="104"/>
      <c r="AU445" s="104"/>
      <c r="AV445" s="104"/>
      <c r="AW445" s="104"/>
      <c r="AX445" s="104"/>
      <c r="AY445" s="104"/>
      <c r="AZ445" s="104"/>
      <c r="BA445" s="104"/>
      <c r="BB445" s="104"/>
      <c r="BC445" s="104"/>
      <c r="BD445" s="104"/>
      <c r="BE445" s="104"/>
      <c r="BF445" s="104"/>
      <c r="BG445" s="104"/>
      <c r="BH445" s="104"/>
      <c r="BI445" s="104"/>
      <c r="BJ445" s="104"/>
      <c r="BK445" s="104"/>
      <c r="BL445" s="104"/>
      <c r="BM445" s="104"/>
      <c r="BN445" s="104"/>
      <c r="BO445" s="104"/>
      <c r="BP445" s="104"/>
      <c r="BQ445" s="104"/>
      <c r="BR445" s="104"/>
      <c r="BS445" s="104"/>
      <c r="BT445" s="104"/>
      <c r="BU445" s="104"/>
      <c r="BV445" s="104"/>
      <c r="BW445" s="78"/>
      <c r="BX445" s="78"/>
      <c r="BY445" s="78"/>
      <c r="BZ445" s="78"/>
      <c r="CA445" s="78"/>
      <c r="CB445" s="78"/>
      <c r="CC445" s="78"/>
      <c r="CD445" s="78"/>
      <c r="CE445" s="78"/>
      <c r="CF445" s="80"/>
    </row>
    <row r="446" spans="1:84" ht="15.75" x14ac:dyDescent="0.25">
      <c r="A446" s="99" t="s">
        <v>636</v>
      </c>
      <c r="B446" s="100" t="s">
        <v>638</v>
      </c>
      <c r="C446" s="90"/>
      <c r="D446" s="107" t="s">
        <v>604</v>
      </c>
      <c r="E446" s="150"/>
      <c r="F446" s="124" t="s">
        <v>13</v>
      </c>
      <c r="G446" s="124" t="s">
        <v>13</v>
      </c>
      <c r="H446" s="126" t="s">
        <v>353</v>
      </c>
      <c r="I446" s="136">
        <v>0</v>
      </c>
      <c r="J446" s="125" t="s">
        <v>79</v>
      </c>
      <c r="K446" s="18">
        <v>46249</v>
      </c>
      <c r="L446" s="18">
        <v>46295</v>
      </c>
      <c r="M446" s="76"/>
      <c r="N446" s="77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92"/>
      <c r="AN446" s="92"/>
      <c r="AO446" s="92"/>
      <c r="AP446" s="92"/>
      <c r="AQ446" s="92"/>
      <c r="AR446" s="92"/>
      <c r="AS446" s="78"/>
      <c r="AT446" s="78"/>
      <c r="AU446" s="78"/>
      <c r="AV446" s="78"/>
      <c r="AW446" s="78"/>
      <c r="AX446" s="78"/>
      <c r="AY446" s="78"/>
      <c r="AZ446" s="78"/>
      <c r="BA446" s="78"/>
      <c r="BB446" s="78"/>
      <c r="BC446" s="78"/>
      <c r="BD446" s="78"/>
      <c r="BE446" s="78"/>
      <c r="BF446" s="78"/>
      <c r="BG446" s="78"/>
      <c r="BH446" s="78"/>
      <c r="BI446" s="78"/>
      <c r="BJ446" s="78"/>
      <c r="BK446" s="78"/>
      <c r="BL446" s="78"/>
      <c r="BM446" s="78"/>
      <c r="BN446" s="78"/>
      <c r="BO446" s="78"/>
      <c r="BP446" s="78"/>
      <c r="BQ446" s="78"/>
      <c r="BR446" s="78"/>
      <c r="BS446" s="78"/>
      <c r="BT446" s="78"/>
      <c r="BU446" s="78"/>
      <c r="BV446" s="78"/>
      <c r="BW446" s="78"/>
      <c r="BX446" s="78"/>
      <c r="BY446" s="78"/>
      <c r="BZ446" s="78"/>
      <c r="CA446" s="78"/>
      <c r="CB446" s="78"/>
      <c r="CC446" s="78"/>
      <c r="CD446" s="78"/>
      <c r="CE446" s="78"/>
      <c r="CF446" s="80"/>
    </row>
    <row r="447" spans="1:84" ht="15.75" x14ac:dyDescent="0.25">
      <c r="A447" s="99" t="s">
        <v>636</v>
      </c>
      <c r="B447" s="100" t="s">
        <v>639</v>
      </c>
      <c r="C447" s="90"/>
      <c r="D447" s="107" t="s">
        <v>606</v>
      </c>
      <c r="E447" s="150"/>
      <c r="F447" s="124" t="s">
        <v>13</v>
      </c>
      <c r="G447" s="124" t="s">
        <v>13</v>
      </c>
      <c r="H447" s="126" t="s">
        <v>353</v>
      </c>
      <c r="I447" s="136">
        <v>0</v>
      </c>
      <c r="J447" s="125" t="s">
        <v>79</v>
      </c>
      <c r="K447" s="18">
        <v>46249</v>
      </c>
      <c r="L447" s="18">
        <v>46295</v>
      </c>
      <c r="M447" s="76"/>
      <c r="N447" s="77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92"/>
      <c r="AN447" s="92"/>
      <c r="AO447" s="92"/>
      <c r="AP447" s="92"/>
      <c r="AQ447" s="92"/>
      <c r="AR447" s="92"/>
      <c r="AS447" s="78"/>
      <c r="AT447" s="78"/>
      <c r="AU447" s="78"/>
      <c r="AV447" s="78"/>
      <c r="AW447" s="78"/>
      <c r="AX447" s="78"/>
      <c r="AY447" s="78"/>
      <c r="AZ447" s="78"/>
      <c r="BA447" s="78"/>
      <c r="BB447" s="78"/>
      <c r="BC447" s="78"/>
      <c r="BD447" s="78"/>
      <c r="BE447" s="78"/>
      <c r="BF447" s="78"/>
      <c r="BG447" s="78"/>
      <c r="BH447" s="78"/>
      <c r="BI447" s="78"/>
      <c r="BJ447" s="78"/>
      <c r="BK447" s="78"/>
      <c r="BL447" s="78"/>
      <c r="BM447" s="78"/>
      <c r="BN447" s="78"/>
      <c r="BO447" s="78"/>
      <c r="BP447" s="78"/>
      <c r="BQ447" s="78"/>
      <c r="BR447" s="78"/>
      <c r="BS447" s="78"/>
      <c r="BT447" s="78"/>
      <c r="BU447" s="78"/>
      <c r="BV447" s="78"/>
      <c r="BW447" s="78"/>
      <c r="BX447" s="78"/>
      <c r="BY447" s="78"/>
      <c r="BZ447" s="78"/>
      <c r="CA447" s="78"/>
      <c r="CB447" s="78"/>
      <c r="CC447" s="78"/>
      <c r="CD447" s="78"/>
      <c r="CE447" s="78"/>
      <c r="CF447" s="80"/>
    </row>
    <row r="448" spans="1:84" ht="15.75" x14ac:dyDescent="0.25">
      <c r="A448" s="99" t="s">
        <v>636</v>
      </c>
      <c r="B448" s="100" t="s">
        <v>640</v>
      </c>
      <c r="C448" s="90"/>
      <c r="D448" s="69" t="s">
        <v>340</v>
      </c>
      <c r="E448" s="150"/>
      <c r="F448" s="124" t="s">
        <v>13</v>
      </c>
      <c r="G448" s="124" t="s">
        <v>13</v>
      </c>
      <c r="H448" s="126" t="s">
        <v>353</v>
      </c>
      <c r="I448" s="75"/>
      <c r="J448" s="125" t="s">
        <v>79</v>
      </c>
      <c r="K448" s="18">
        <v>46296</v>
      </c>
      <c r="L448" s="18">
        <v>46433</v>
      </c>
      <c r="M448" s="76"/>
      <c r="N448" s="77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93"/>
      <c r="AT448" s="93"/>
      <c r="AU448" s="93"/>
      <c r="AV448" s="93"/>
      <c r="AW448" s="93"/>
      <c r="AX448" s="93"/>
      <c r="AY448" s="93"/>
      <c r="AZ448" s="93"/>
      <c r="BA448" s="93"/>
      <c r="BB448" s="93"/>
      <c r="BC448" s="93"/>
      <c r="BD448" s="93"/>
      <c r="BE448" s="93"/>
      <c r="BF448" s="93"/>
      <c r="BG448" s="93"/>
      <c r="BH448" s="93"/>
      <c r="BI448" s="93"/>
      <c r="BJ448" s="78"/>
      <c r="BK448" s="78"/>
      <c r="BL448" s="78"/>
      <c r="BM448" s="78"/>
      <c r="BN448" s="78"/>
      <c r="BO448" s="78"/>
      <c r="BP448" s="78"/>
      <c r="BQ448" s="78"/>
      <c r="BR448" s="78"/>
      <c r="BS448" s="78"/>
      <c r="BT448" s="78"/>
      <c r="BU448" s="78"/>
      <c r="BV448" s="78"/>
      <c r="BW448" s="78"/>
      <c r="BX448" s="78"/>
      <c r="BY448" s="78"/>
      <c r="BZ448" s="78"/>
      <c r="CA448" s="78"/>
      <c r="CB448" s="78"/>
      <c r="CC448" s="78"/>
      <c r="CD448" s="78"/>
      <c r="CE448" s="78"/>
      <c r="CF448" s="80"/>
    </row>
    <row r="449" spans="1:84" ht="15.75" x14ac:dyDescent="0.25">
      <c r="A449" s="99" t="s">
        <v>636</v>
      </c>
      <c r="B449" s="100" t="s">
        <v>641</v>
      </c>
      <c r="C449" s="73"/>
      <c r="D449" s="94" t="s">
        <v>642</v>
      </c>
      <c r="E449" s="150"/>
      <c r="F449" s="124" t="s">
        <v>13</v>
      </c>
      <c r="G449" s="124" t="s">
        <v>13</v>
      </c>
      <c r="H449" s="126" t="s">
        <v>353</v>
      </c>
      <c r="I449" s="136">
        <v>0</v>
      </c>
      <c r="J449" s="125" t="s">
        <v>79</v>
      </c>
      <c r="K449" s="18">
        <v>46296</v>
      </c>
      <c r="L449" s="18">
        <v>46433</v>
      </c>
      <c r="M449" s="76"/>
      <c r="N449" s="77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92"/>
      <c r="AT449" s="92"/>
      <c r="AU449" s="92"/>
      <c r="AV449" s="92"/>
      <c r="AW449" s="92"/>
      <c r="AX449" s="92"/>
      <c r="AY449" s="92"/>
      <c r="AZ449" s="92"/>
      <c r="BA449" s="92"/>
      <c r="BB449" s="92"/>
      <c r="BC449" s="92"/>
      <c r="BD449" s="92"/>
      <c r="BE449" s="92"/>
      <c r="BF449" s="92"/>
      <c r="BG449" s="92"/>
      <c r="BH449" s="92"/>
      <c r="BI449" s="92"/>
      <c r="BJ449" s="78"/>
      <c r="BK449" s="78"/>
      <c r="BL449" s="78"/>
      <c r="BM449" s="78"/>
      <c r="BN449" s="78"/>
      <c r="BO449" s="78"/>
      <c r="BP449" s="78"/>
      <c r="BQ449" s="78"/>
      <c r="BR449" s="78"/>
      <c r="BS449" s="78"/>
      <c r="BT449" s="78"/>
      <c r="BU449" s="78"/>
      <c r="BV449" s="78"/>
      <c r="BW449" s="78"/>
      <c r="BX449" s="78"/>
      <c r="BY449" s="78"/>
      <c r="BZ449" s="78"/>
      <c r="CA449" s="78"/>
      <c r="CB449" s="78"/>
      <c r="CC449" s="78"/>
      <c r="CD449" s="78"/>
      <c r="CE449" s="78"/>
      <c r="CF449" s="80"/>
    </row>
    <row r="450" spans="1:84" ht="15.75" x14ac:dyDescent="0.25">
      <c r="A450" s="99" t="s">
        <v>636</v>
      </c>
      <c r="B450" s="100" t="s">
        <v>643</v>
      </c>
      <c r="C450" s="73"/>
      <c r="D450" s="94" t="s">
        <v>644</v>
      </c>
      <c r="E450" s="150"/>
      <c r="F450" s="124" t="s">
        <v>13</v>
      </c>
      <c r="G450" s="124" t="s">
        <v>13</v>
      </c>
      <c r="H450" s="126" t="s">
        <v>353</v>
      </c>
      <c r="I450" s="136">
        <v>0</v>
      </c>
      <c r="J450" s="125" t="s">
        <v>79</v>
      </c>
      <c r="K450" s="18">
        <v>46296</v>
      </c>
      <c r="L450" s="18">
        <v>46402</v>
      </c>
      <c r="M450" s="76"/>
      <c r="N450" s="77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92"/>
      <c r="AT450" s="92"/>
      <c r="AU450" s="92"/>
      <c r="AV450" s="92"/>
      <c r="AW450" s="92"/>
      <c r="AX450" s="92"/>
      <c r="AY450" s="92"/>
      <c r="AZ450" s="92"/>
      <c r="BA450" s="92"/>
      <c r="BB450" s="92"/>
      <c r="BC450" s="92"/>
      <c r="BD450" s="92"/>
      <c r="BE450" s="92"/>
      <c r="BF450" s="78"/>
      <c r="BG450" s="78"/>
      <c r="BH450" s="78"/>
      <c r="BI450" s="78"/>
      <c r="BJ450" s="78"/>
      <c r="BK450" s="78"/>
      <c r="BL450" s="78"/>
      <c r="BM450" s="78"/>
      <c r="BN450" s="78"/>
      <c r="BO450" s="78"/>
      <c r="BP450" s="78"/>
      <c r="BQ450" s="78"/>
      <c r="BR450" s="78"/>
      <c r="BS450" s="78"/>
      <c r="BT450" s="78"/>
      <c r="BU450" s="78"/>
      <c r="BV450" s="78"/>
      <c r="BW450" s="78"/>
      <c r="BX450" s="78"/>
      <c r="BY450" s="78"/>
      <c r="BZ450" s="78"/>
      <c r="CA450" s="78"/>
      <c r="CB450" s="78"/>
      <c r="CC450" s="78"/>
      <c r="CD450" s="78"/>
      <c r="CE450" s="78"/>
      <c r="CF450" s="80"/>
    </row>
    <row r="451" spans="1:84" ht="15.75" x14ac:dyDescent="0.25">
      <c r="A451" s="99" t="s">
        <v>636</v>
      </c>
      <c r="B451" s="100" t="s">
        <v>645</v>
      </c>
      <c r="C451" s="73"/>
      <c r="D451" s="94" t="s">
        <v>646</v>
      </c>
      <c r="E451" s="150"/>
      <c r="F451" s="124" t="s">
        <v>13</v>
      </c>
      <c r="G451" s="124" t="s">
        <v>13</v>
      </c>
      <c r="H451" s="126" t="s">
        <v>353</v>
      </c>
      <c r="I451" s="136">
        <v>0</v>
      </c>
      <c r="J451" s="125" t="s">
        <v>79</v>
      </c>
      <c r="K451" s="18">
        <v>46296</v>
      </c>
      <c r="L451" s="18">
        <v>46371</v>
      </c>
      <c r="M451" s="76"/>
      <c r="N451" s="77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92"/>
      <c r="AT451" s="92"/>
      <c r="AU451" s="92"/>
      <c r="AV451" s="92"/>
      <c r="AW451" s="92"/>
      <c r="AX451" s="92"/>
      <c r="AY451" s="92"/>
      <c r="AZ451" s="92"/>
      <c r="BA451" s="92"/>
      <c r="BB451" s="92"/>
      <c r="BC451" s="78"/>
      <c r="BD451" s="78"/>
      <c r="BE451" s="78"/>
      <c r="BF451" s="78"/>
      <c r="BG451" s="78"/>
      <c r="BH451" s="78"/>
      <c r="BI451" s="78"/>
      <c r="BJ451" s="78"/>
      <c r="BK451" s="78"/>
      <c r="BL451" s="78"/>
      <c r="BM451" s="78"/>
      <c r="BN451" s="78"/>
      <c r="BO451" s="78"/>
      <c r="BP451" s="78"/>
      <c r="BQ451" s="78"/>
      <c r="BR451" s="78"/>
      <c r="BS451" s="78"/>
      <c r="BT451" s="78"/>
      <c r="BU451" s="78"/>
      <c r="BV451" s="78"/>
      <c r="BW451" s="78"/>
      <c r="BX451" s="78"/>
      <c r="BY451" s="78"/>
      <c r="BZ451" s="78"/>
      <c r="CA451" s="78"/>
      <c r="CB451" s="78"/>
      <c r="CC451" s="78"/>
      <c r="CD451" s="78"/>
      <c r="CE451" s="78"/>
      <c r="CF451" s="80"/>
    </row>
    <row r="452" spans="1:84" ht="15.75" x14ac:dyDescent="0.25">
      <c r="A452" s="99" t="s">
        <v>636</v>
      </c>
      <c r="B452" s="100" t="s">
        <v>647</v>
      </c>
      <c r="C452" s="90"/>
      <c r="D452" s="69" t="s">
        <v>352</v>
      </c>
      <c r="E452" s="150"/>
      <c r="F452" s="124" t="s">
        <v>13</v>
      </c>
      <c r="G452" s="124" t="s">
        <v>13</v>
      </c>
      <c r="H452" s="126" t="s">
        <v>353</v>
      </c>
      <c r="I452" s="75"/>
      <c r="J452" s="125" t="s">
        <v>79</v>
      </c>
      <c r="K452" s="18">
        <v>46419</v>
      </c>
      <c r="L452" s="18">
        <v>46461</v>
      </c>
      <c r="M452" s="76"/>
      <c r="N452" s="77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  <c r="AY452" s="78"/>
      <c r="AZ452" s="78"/>
      <c r="BA452" s="78"/>
      <c r="BB452" s="78"/>
      <c r="BC452" s="78"/>
      <c r="BD452" s="78"/>
      <c r="BE452" s="78"/>
      <c r="BF452" s="78"/>
      <c r="BG452" s="78"/>
      <c r="BH452" s="78"/>
      <c r="BI452" s="78"/>
      <c r="BJ452" s="93"/>
      <c r="BK452" s="93"/>
      <c r="BL452" s="93"/>
      <c r="BM452" s="93"/>
      <c r="BN452" s="78"/>
      <c r="BO452" s="78"/>
      <c r="BP452" s="78"/>
      <c r="BQ452" s="78"/>
      <c r="BR452" s="78"/>
      <c r="BS452" s="78"/>
      <c r="BT452" s="78"/>
      <c r="BU452" s="78"/>
      <c r="BV452" s="78"/>
      <c r="BW452" s="78"/>
      <c r="BX452" s="78"/>
      <c r="BY452" s="78"/>
      <c r="BZ452" s="78"/>
      <c r="CA452" s="78"/>
      <c r="CB452" s="78"/>
      <c r="CC452" s="78"/>
      <c r="CD452" s="78"/>
      <c r="CE452" s="78"/>
      <c r="CF452" s="80"/>
    </row>
    <row r="453" spans="1:84" ht="15.75" x14ac:dyDescent="0.25">
      <c r="A453" s="99" t="s">
        <v>636</v>
      </c>
      <c r="B453" s="100" t="s">
        <v>648</v>
      </c>
      <c r="C453" s="73"/>
      <c r="D453" s="94" t="s">
        <v>612</v>
      </c>
      <c r="E453" s="150"/>
      <c r="F453" s="124" t="s">
        <v>13</v>
      </c>
      <c r="G453" s="124" t="s">
        <v>13</v>
      </c>
      <c r="H453" s="126" t="s">
        <v>353</v>
      </c>
      <c r="I453" s="136">
        <v>0</v>
      </c>
      <c r="J453" s="125" t="s">
        <v>79</v>
      </c>
      <c r="K453" s="18">
        <v>46419</v>
      </c>
      <c r="L453" s="18">
        <v>46461</v>
      </c>
      <c r="M453" s="76"/>
      <c r="N453" s="77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  <c r="AY453" s="78"/>
      <c r="AZ453" s="78"/>
      <c r="BA453" s="78"/>
      <c r="BB453" s="78"/>
      <c r="BC453" s="78"/>
      <c r="BD453" s="78"/>
      <c r="BE453" s="78"/>
      <c r="BF453" s="78"/>
      <c r="BG453" s="78"/>
      <c r="BH453" s="78"/>
      <c r="BI453" s="78"/>
      <c r="BJ453" s="92"/>
      <c r="BK453" s="92"/>
      <c r="BL453" s="92"/>
      <c r="BM453" s="92"/>
      <c r="BN453" s="78"/>
      <c r="BO453" s="78"/>
      <c r="BP453" s="78"/>
      <c r="BQ453" s="78"/>
      <c r="BR453" s="78"/>
      <c r="BS453" s="78"/>
      <c r="BT453" s="78"/>
      <c r="BU453" s="78"/>
      <c r="BV453" s="78"/>
      <c r="BW453" s="78"/>
      <c r="BX453" s="78"/>
      <c r="BY453" s="78"/>
      <c r="BZ453" s="78"/>
      <c r="CA453" s="78"/>
      <c r="CB453" s="78"/>
      <c r="CC453" s="78"/>
      <c r="CD453" s="78"/>
      <c r="CE453" s="78"/>
      <c r="CF453" s="80"/>
    </row>
    <row r="454" spans="1:84" ht="15.75" x14ac:dyDescent="0.25">
      <c r="A454" s="99" t="s">
        <v>636</v>
      </c>
      <c r="B454" s="100" t="s">
        <v>649</v>
      </c>
      <c r="C454" s="73"/>
      <c r="D454" s="94" t="s">
        <v>614</v>
      </c>
      <c r="E454" s="150"/>
      <c r="F454" s="124" t="s">
        <v>13</v>
      </c>
      <c r="G454" s="124" t="s">
        <v>13</v>
      </c>
      <c r="H454" s="126" t="s">
        <v>353</v>
      </c>
      <c r="I454" s="136">
        <v>0</v>
      </c>
      <c r="J454" s="125" t="s">
        <v>79</v>
      </c>
      <c r="K454" s="18">
        <v>46419</v>
      </c>
      <c r="L454" s="18">
        <v>46446</v>
      </c>
      <c r="M454" s="76"/>
      <c r="N454" s="77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  <c r="AY454" s="78"/>
      <c r="AZ454" s="78"/>
      <c r="BA454" s="78"/>
      <c r="BB454" s="78"/>
      <c r="BC454" s="78"/>
      <c r="BD454" s="78"/>
      <c r="BE454" s="78"/>
      <c r="BF454" s="78"/>
      <c r="BG454" s="78"/>
      <c r="BH454" s="78"/>
      <c r="BI454" s="78"/>
      <c r="BJ454" s="92"/>
      <c r="BK454" s="92"/>
      <c r="BL454" s="78"/>
      <c r="BM454" s="78"/>
      <c r="BN454" s="78"/>
      <c r="BO454" s="78"/>
      <c r="BP454" s="78"/>
      <c r="BQ454" s="78"/>
      <c r="BR454" s="78"/>
      <c r="BS454" s="78"/>
      <c r="BT454" s="78"/>
      <c r="BU454" s="78"/>
      <c r="BV454" s="78"/>
      <c r="BW454" s="78"/>
      <c r="BX454" s="78"/>
      <c r="BY454" s="78"/>
      <c r="BZ454" s="78"/>
      <c r="CA454" s="78"/>
      <c r="CB454" s="78"/>
      <c r="CC454" s="78"/>
      <c r="CD454" s="78"/>
      <c r="CE454" s="78"/>
      <c r="CF454" s="80"/>
    </row>
    <row r="455" spans="1:84" ht="15.75" x14ac:dyDescent="0.25">
      <c r="A455" s="99" t="s">
        <v>636</v>
      </c>
      <c r="B455" s="100" t="s">
        <v>650</v>
      </c>
      <c r="C455" s="73"/>
      <c r="D455" s="94" t="s">
        <v>362</v>
      </c>
      <c r="E455" s="150"/>
      <c r="F455" s="124" t="s">
        <v>13</v>
      </c>
      <c r="G455" s="124" t="s">
        <v>13</v>
      </c>
      <c r="H455" s="126" t="s">
        <v>353</v>
      </c>
      <c r="I455" s="136">
        <v>0</v>
      </c>
      <c r="J455" s="125" t="s">
        <v>79</v>
      </c>
      <c r="K455" s="18">
        <v>46433</v>
      </c>
      <c r="L455" s="18">
        <v>46461</v>
      </c>
      <c r="M455" s="76"/>
      <c r="N455" s="77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  <c r="AY455" s="78"/>
      <c r="AZ455" s="78"/>
      <c r="BA455" s="78"/>
      <c r="BB455" s="78"/>
      <c r="BC455" s="78"/>
      <c r="BD455" s="78"/>
      <c r="BE455" s="78"/>
      <c r="BF455" s="78"/>
      <c r="BG455" s="78"/>
      <c r="BH455" s="78"/>
      <c r="BI455" s="78"/>
      <c r="BJ455" s="78"/>
      <c r="BK455" s="78"/>
      <c r="BL455" s="79"/>
      <c r="BM455" s="79"/>
      <c r="BN455" s="78"/>
      <c r="BO455" s="78"/>
      <c r="BP455" s="78"/>
      <c r="BQ455" s="78"/>
      <c r="BR455" s="78"/>
      <c r="BS455" s="78"/>
      <c r="BT455" s="78"/>
      <c r="BU455" s="78"/>
      <c r="BV455" s="78"/>
      <c r="BW455" s="78"/>
      <c r="BX455" s="78"/>
      <c r="BY455" s="78"/>
      <c r="BZ455" s="78"/>
      <c r="CA455" s="78"/>
      <c r="CB455" s="78"/>
      <c r="CC455" s="78"/>
      <c r="CD455" s="78"/>
      <c r="CE455" s="78"/>
      <c r="CF455" s="80"/>
    </row>
    <row r="456" spans="1:84" ht="15.75" x14ac:dyDescent="0.25">
      <c r="A456" s="99" t="s">
        <v>636</v>
      </c>
      <c r="B456" s="100" t="s">
        <v>651</v>
      </c>
      <c r="C456" s="90"/>
      <c r="D456" s="69" t="s">
        <v>364</v>
      </c>
      <c r="E456" s="150"/>
      <c r="F456" s="124" t="s">
        <v>13</v>
      </c>
      <c r="G456" s="124" t="s">
        <v>13</v>
      </c>
      <c r="H456" s="126" t="s">
        <v>353</v>
      </c>
      <c r="I456" s="75"/>
      <c r="J456" s="125" t="s">
        <v>79</v>
      </c>
      <c r="K456" s="18">
        <v>46447</v>
      </c>
      <c r="L456" s="18">
        <v>46492</v>
      </c>
      <c r="M456" s="76"/>
      <c r="N456" s="77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  <c r="AY456" s="78"/>
      <c r="AZ456" s="78"/>
      <c r="BA456" s="78"/>
      <c r="BB456" s="78"/>
      <c r="BC456" s="78"/>
      <c r="BD456" s="78"/>
      <c r="BE456" s="78"/>
      <c r="BF456" s="78"/>
      <c r="BG456" s="78"/>
      <c r="BH456" s="78"/>
      <c r="BI456" s="78"/>
      <c r="BJ456" s="78"/>
      <c r="BK456" s="78"/>
      <c r="BL456" s="78"/>
      <c r="BM456" s="78"/>
      <c r="BN456" s="93"/>
      <c r="BO456" s="93"/>
      <c r="BP456" s="93"/>
      <c r="BQ456" s="93"/>
      <c r="BR456" s="93"/>
      <c r="BS456" s="78"/>
      <c r="BT456" s="78"/>
      <c r="BU456" s="78"/>
      <c r="BV456" s="78"/>
      <c r="BW456" s="78"/>
      <c r="BX456" s="78"/>
      <c r="BY456" s="78"/>
      <c r="BZ456" s="78"/>
      <c r="CA456" s="78"/>
      <c r="CB456" s="78"/>
      <c r="CC456" s="78"/>
      <c r="CD456" s="78"/>
      <c r="CE456" s="78"/>
      <c r="CF456" s="80"/>
    </row>
    <row r="457" spans="1:84" ht="15.75" x14ac:dyDescent="0.25">
      <c r="A457" s="99" t="s">
        <v>636</v>
      </c>
      <c r="B457" s="100" t="s">
        <v>652</v>
      </c>
      <c r="C457" s="73"/>
      <c r="D457" s="94" t="s">
        <v>618</v>
      </c>
      <c r="E457" s="150"/>
      <c r="F457" s="124" t="s">
        <v>13</v>
      </c>
      <c r="G457" s="124" t="s">
        <v>13</v>
      </c>
      <c r="H457" s="126" t="s">
        <v>353</v>
      </c>
      <c r="I457" s="136">
        <v>0</v>
      </c>
      <c r="J457" s="125" t="s">
        <v>79</v>
      </c>
      <c r="K457" s="18">
        <v>46447</v>
      </c>
      <c r="L457" s="18">
        <v>46492</v>
      </c>
      <c r="M457" s="76"/>
      <c r="N457" s="77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  <c r="AY457" s="78"/>
      <c r="AZ457" s="78"/>
      <c r="BA457" s="78"/>
      <c r="BB457" s="78"/>
      <c r="BC457" s="78"/>
      <c r="BD457" s="78"/>
      <c r="BE457" s="78"/>
      <c r="BF457" s="78"/>
      <c r="BG457" s="78"/>
      <c r="BH457" s="78"/>
      <c r="BI457" s="78"/>
      <c r="BJ457" s="78"/>
      <c r="BK457" s="78"/>
      <c r="BL457" s="78"/>
      <c r="BM457" s="78"/>
      <c r="BN457" s="92"/>
      <c r="BO457" s="92"/>
      <c r="BP457" s="92"/>
      <c r="BQ457" s="92"/>
      <c r="BR457" s="92"/>
      <c r="BS457" s="78"/>
      <c r="BT457" s="78"/>
      <c r="BU457" s="78"/>
      <c r="BV457" s="78"/>
      <c r="BW457" s="78"/>
      <c r="BX457" s="78"/>
      <c r="BY457" s="78"/>
      <c r="BZ457" s="78"/>
      <c r="CA457" s="78"/>
      <c r="CB457" s="78"/>
      <c r="CC457" s="78"/>
      <c r="CD457" s="78"/>
      <c r="CE457" s="78"/>
      <c r="CF457" s="80"/>
    </row>
    <row r="458" spans="1:84" ht="15.75" x14ac:dyDescent="0.25">
      <c r="A458" s="99" t="s">
        <v>636</v>
      </c>
      <c r="B458" s="100" t="s">
        <v>653</v>
      </c>
      <c r="C458" s="73"/>
      <c r="D458" s="94" t="s">
        <v>620</v>
      </c>
      <c r="E458" s="150"/>
      <c r="F458" s="124" t="s">
        <v>13</v>
      </c>
      <c r="G458" s="124" t="s">
        <v>13</v>
      </c>
      <c r="H458" s="126" t="s">
        <v>353</v>
      </c>
      <c r="I458" s="136">
        <v>0</v>
      </c>
      <c r="J458" s="125" t="s">
        <v>79</v>
      </c>
      <c r="K458" s="18">
        <v>46478</v>
      </c>
      <c r="L458" s="18">
        <v>46492</v>
      </c>
      <c r="M458" s="76"/>
      <c r="N458" s="77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  <c r="AY458" s="78"/>
      <c r="AZ458" s="78"/>
      <c r="BA458" s="78"/>
      <c r="BB458" s="78"/>
      <c r="BC458" s="78"/>
      <c r="BD458" s="78"/>
      <c r="BE458" s="78"/>
      <c r="BF458" s="78"/>
      <c r="BG458" s="78"/>
      <c r="BH458" s="78"/>
      <c r="BI458" s="78"/>
      <c r="BJ458" s="78"/>
      <c r="BK458" s="78"/>
      <c r="BL458" s="78"/>
      <c r="BM458" s="78"/>
      <c r="BN458" s="78"/>
      <c r="BO458" s="78"/>
      <c r="BP458" s="78"/>
      <c r="BQ458" s="92"/>
      <c r="BR458" s="92"/>
      <c r="BS458" s="78"/>
      <c r="BT458" s="78"/>
      <c r="BU458" s="78"/>
      <c r="BV458" s="78"/>
      <c r="BW458" s="78"/>
      <c r="BX458" s="78"/>
      <c r="BY458" s="78"/>
      <c r="BZ458" s="78"/>
      <c r="CA458" s="78"/>
      <c r="CB458" s="78"/>
      <c r="CC458" s="78"/>
      <c r="CD458" s="78"/>
      <c r="CE458" s="78"/>
      <c r="CF458" s="80"/>
    </row>
    <row r="459" spans="1:84" ht="15.75" x14ac:dyDescent="0.25">
      <c r="A459" s="99" t="s">
        <v>636</v>
      </c>
      <c r="B459" s="100" t="s">
        <v>654</v>
      </c>
      <c r="C459" s="73"/>
      <c r="D459" s="94" t="s">
        <v>622</v>
      </c>
      <c r="E459" s="150"/>
      <c r="F459" s="124" t="s">
        <v>13</v>
      </c>
      <c r="G459" s="124" t="s">
        <v>13</v>
      </c>
      <c r="H459" s="126" t="s">
        <v>353</v>
      </c>
      <c r="I459" s="136">
        <v>0</v>
      </c>
      <c r="J459" s="125" t="s">
        <v>79</v>
      </c>
      <c r="K459" s="18">
        <v>46478</v>
      </c>
      <c r="L459" s="18">
        <v>46492</v>
      </c>
      <c r="M459" s="76"/>
      <c r="N459" s="77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  <c r="AY459" s="78"/>
      <c r="AZ459" s="78"/>
      <c r="BA459" s="78"/>
      <c r="BB459" s="78"/>
      <c r="BC459" s="78"/>
      <c r="BD459" s="78"/>
      <c r="BE459" s="78"/>
      <c r="BF459" s="78"/>
      <c r="BG459" s="78"/>
      <c r="BH459" s="78"/>
      <c r="BI459" s="78"/>
      <c r="BJ459" s="78"/>
      <c r="BK459" s="78"/>
      <c r="BL459" s="78"/>
      <c r="BM459" s="78"/>
      <c r="BN459" s="78"/>
      <c r="BO459" s="78"/>
      <c r="BP459" s="78"/>
      <c r="BQ459" s="92"/>
      <c r="BR459" s="92"/>
      <c r="BS459" s="78"/>
      <c r="BT459" s="78"/>
      <c r="BU459" s="78"/>
      <c r="BV459" s="78"/>
      <c r="BW459" s="78"/>
      <c r="BX459" s="78"/>
      <c r="BY459" s="78"/>
      <c r="BZ459" s="78"/>
      <c r="CA459" s="78"/>
      <c r="CB459" s="78"/>
      <c r="CC459" s="78"/>
      <c r="CD459" s="78"/>
      <c r="CE459" s="78"/>
      <c r="CF459" s="80"/>
    </row>
    <row r="460" spans="1:84" ht="15.75" x14ac:dyDescent="0.25">
      <c r="A460" s="99" t="s">
        <v>636</v>
      </c>
      <c r="B460" s="100" t="s">
        <v>655</v>
      </c>
      <c r="C460" s="73"/>
      <c r="D460" s="94" t="s">
        <v>373</v>
      </c>
      <c r="E460" s="150"/>
      <c r="F460" s="124" t="s">
        <v>13</v>
      </c>
      <c r="G460" s="124" t="s">
        <v>13</v>
      </c>
      <c r="H460" s="126" t="s">
        <v>353</v>
      </c>
      <c r="I460" s="136">
        <v>0</v>
      </c>
      <c r="J460" s="125" t="s">
        <v>79</v>
      </c>
      <c r="K460" s="18">
        <v>46478</v>
      </c>
      <c r="L460" s="18">
        <v>46492</v>
      </c>
      <c r="M460" s="76"/>
      <c r="N460" s="77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  <c r="AY460" s="78"/>
      <c r="AZ460" s="78"/>
      <c r="BA460" s="78"/>
      <c r="BB460" s="78"/>
      <c r="BC460" s="78"/>
      <c r="BD460" s="78"/>
      <c r="BE460" s="78"/>
      <c r="BF460" s="78"/>
      <c r="BG460" s="78"/>
      <c r="BH460" s="78"/>
      <c r="BI460" s="78"/>
      <c r="BJ460" s="78"/>
      <c r="BK460" s="78"/>
      <c r="BL460" s="78"/>
      <c r="BM460" s="78"/>
      <c r="BN460" s="78"/>
      <c r="BO460" s="78"/>
      <c r="BP460" s="78"/>
      <c r="BQ460" s="79"/>
      <c r="BR460" s="79"/>
      <c r="BS460" s="78"/>
      <c r="BT460" s="78"/>
      <c r="BU460" s="78"/>
      <c r="BV460" s="78"/>
      <c r="BW460" s="78"/>
      <c r="BX460" s="78"/>
      <c r="BY460" s="78"/>
      <c r="BZ460" s="78"/>
      <c r="CA460" s="78"/>
      <c r="CB460" s="78"/>
      <c r="CC460" s="78"/>
      <c r="CD460" s="78"/>
      <c r="CE460" s="78"/>
      <c r="CF460" s="80"/>
    </row>
    <row r="461" spans="1:84" ht="15.75" x14ac:dyDescent="0.25">
      <c r="A461" s="99" t="s">
        <v>636</v>
      </c>
      <c r="B461" s="100" t="s">
        <v>656</v>
      </c>
      <c r="C461" s="90"/>
      <c r="D461" s="69" t="s">
        <v>375</v>
      </c>
      <c r="E461" s="150"/>
      <c r="F461" s="124" t="s">
        <v>13</v>
      </c>
      <c r="G461" s="124" t="s">
        <v>13</v>
      </c>
      <c r="H461" s="126" t="s">
        <v>353</v>
      </c>
      <c r="I461" s="75"/>
      <c r="J461" s="125" t="s">
        <v>79</v>
      </c>
      <c r="K461" s="18">
        <v>46492</v>
      </c>
      <c r="L461" s="18">
        <v>46522</v>
      </c>
      <c r="M461" s="76"/>
      <c r="N461" s="77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  <c r="AY461" s="78"/>
      <c r="AZ461" s="78"/>
      <c r="BA461" s="78"/>
      <c r="BB461" s="78"/>
      <c r="BC461" s="78"/>
      <c r="BD461" s="78"/>
      <c r="BE461" s="78"/>
      <c r="BF461" s="78"/>
      <c r="BG461" s="78"/>
      <c r="BH461" s="78"/>
      <c r="BI461" s="78"/>
      <c r="BJ461" s="78"/>
      <c r="BK461" s="78"/>
      <c r="BL461" s="78"/>
      <c r="BM461" s="78"/>
      <c r="BN461" s="78"/>
      <c r="BO461" s="78"/>
      <c r="BP461" s="78"/>
      <c r="BQ461" s="78"/>
      <c r="BR461" s="78"/>
      <c r="BS461" s="93"/>
      <c r="BT461" s="93"/>
      <c r="BU461" s="93"/>
      <c r="BV461" s="93"/>
      <c r="BW461" s="78"/>
      <c r="BX461" s="78"/>
      <c r="BY461" s="78"/>
      <c r="BZ461" s="78"/>
      <c r="CA461" s="78"/>
      <c r="CB461" s="78"/>
      <c r="CC461" s="78"/>
      <c r="CD461" s="78"/>
      <c r="CE461" s="78"/>
      <c r="CF461" s="80"/>
    </row>
    <row r="462" spans="1:84" ht="15.75" x14ac:dyDescent="0.25">
      <c r="A462" s="99" t="s">
        <v>636</v>
      </c>
      <c r="B462" s="100" t="s">
        <v>657</v>
      </c>
      <c r="C462" s="73"/>
      <c r="D462" s="94" t="s">
        <v>626</v>
      </c>
      <c r="E462" s="150"/>
      <c r="F462" s="124" t="s">
        <v>13</v>
      </c>
      <c r="G462" s="124" t="s">
        <v>13</v>
      </c>
      <c r="H462" s="126" t="s">
        <v>353</v>
      </c>
      <c r="I462" s="136">
        <v>0</v>
      </c>
      <c r="J462" s="125" t="s">
        <v>79</v>
      </c>
      <c r="K462" s="18">
        <v>46492</v>
      </c>
      <c r="L462" s="18">
        <v>46522</v>
      </c>
      <c r="M462" s="76"/>
      <c r="N462" s="77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  <c r="AY462" s="78"/>
      <c r="AZ462" s="78"/>
      <c r="BA462" s="78"/>
      <c r="BB462" s="78"/>
      <c r="BC462" s="78"/>
      <c r="BD462" s="78"/>
      <c r="BE462" s="78"/>
      <c r="BF462" s="78"/>
      <c r="BG462" s="78"/>
      <c r="BH462" s="78"/>
      <c r="BI462" s="78"/>
      <c r="BJ462" s="78"/>
      <c r="BK462" s="78"/>
      <c r="BL462" s="78"/>
      <c r="BM462" s="78"/>
      <c r="BN462" s="78"/>
      <c r="BO462" s="78"/>
      <c r="BP462" s="78"/>
      <c r="BQ462" s="78"/>
      <c r="BR462" s="78"/>
      <c r="BS462" s="92"/>
      <c r="BT462" s="92"/>
      <c r="BU462" s="92"/>
      <c r="BV462" s="92"/>
      <c r="BW462" s="78"/>
      <c r="BX462" s="78"/>
      <c r="BY462" s="78"/>
      <c r="BZ462" s="78"/>
      <c r="CA462" s="78"/>
      <c r="CB462" s="78"/>
      <c r="CC462" s="78"/>
      <c r="CD462" s="78"/>
      <c r="CE462" s="78"/>
      <c r="CF462" s="80"/>
    </row>
    <row r="463" spans="1:84" ht="15.75" x14ac:dyDescent="0.25">
      <c r="A463" s="99" t="s">
        <v>636</v>
      </c>
      <c r="B463" s="100" t="s">
        <v>658</v>
      </c>
      <c r="C463" s="73"/>
      <c r="D463" s="94" t="s">
        <v>628</v>
      </c>
      <c r="E463" s="150"/>
      <c r="F463" s="124" t="s">
        <v>13</v>
      </c>
      <c r="G463" s="124" t="s">
        <v>13</v>
      </c>
      <c r="H463" s="126" t="s">
        <v>353</v>
      </c>
      <c r="I463" s="136">
        <v>0</v>
      </c>
      <c r="J463" s="125" t="s">
        <v>79</v>
      </c>
      <c r="K463" s="18">
        <v>46508</v>
      </c>
      <c r="L463" s="18">
        <v>46522</v>
      </c>
      <c r="M463" s="76"/>
      <c r="N463" s="77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86"/>
      <c r="AN463" s="86"/>
      <c r="AO463" s="86"/>
      <c r="AP463" s="86"/>
      <c r="AQ463" s="86"/>
      <c r="AR463" s="86"/>
      <c r="AS463" s="86"/>
      <c r="AT463" s="86"/>
      <c r="AU463" s="86"/>
      <c r="AV463" s="86"/>
      <c r="AW463" s="86"/>
      <c r="AX463" s="86"/>
      <c r="AY463" s="86"/>
      <c r="AZ463" s="86"/>
      <c r="BA463" s="86"/>
      <c r="BB463" s="86"/>
      <c r="BC463" s="86"/>
      <c r="BD463" s="86"/>
      <c r="BE463" s="86"/>
      <c r="BF463" s="86"/>
      <c r="BG463" s="86"/>
      <c r="BH463" s="86"/>
      <c r="BI463" s="86"/>
      <c r="BJ463" s="78"/>
      <c r="BK463" s="78"/>
      <c r="BL463" s="78"/>
      <c r="BM463" s="78"/>
      <c r="BN463" s="78"/>
      <c r="BO463" s="78"/>
      <c r="BP463" s="78"/>
      <c r="BQ463" s="78"/>
      <c r="BR463" s="78"/>
      <c r="BS463" s="78"/>
      <c r="BT463" s="78"/>
      <c r="BU463" s="92"/>
      <c r="BV463" s="92"/>
      <c r="BW463" s="78"/>
      <c r="BX463" s="78"/>
      <c r="BY463" s="78"/>
      <c r="BZ463" s="78"/>
      <c r="CA463" s="78"/>
      <c r="CB463" s="78"/>
      <c r="CC463" s="78"/>
      <c r="CD463" s="78"/>
      <c r="CE463" s="78"/>
      <c r="CF463" s="80"/>
    </row>
    <row r="464" spans="1:84" ht="15.75" x14ac:dyDescent="0.25">
      <c r="A464" s="99" t="s">
        <v>636</v>
      </c>
      <c r="B464" s="100" t="s">
        <v>659</v>
      </c>
      <c r="C464" s="73"/>
      <c r="D464" s="94" t="s">
        <v>630</v>
      </c>
      <c r="E464" s="150"/>
      <c r="F464" s="124" t="s">
        <v>13</v>
      </c>
      <c r="G464" s="124" t="s">
        <v>13</v>
      </c>
      <c r="H464" s="126" t="s">
        <v>353</v>
      </c>
      <c r="I464" s="136">
        <v>0</v>
      </c>
      <c r="J464" s="125" t="s">
        <v>79</v>
      </c>
      <c r="K464" s="18">
        <v>46508</v>
      </c>
      <c r="L464" s="18">
        <v>46522</v>
      </c>
      <c r="M464" s="76"/>
      <c r="N464" s="77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86"/>
      <c r="AN464" s="86"/>
      <c r="AO464" s="86"/>
      <c r="AP464" s="86"/>
      <c r="AQ464" s="86"/>
      <c r="AR464" s="86"/>
      <c r="AS464" s="86"/>
      <c r="AT464" s="86"/>
      <c r="AU464" s="86"/>
      <c r="AV464" s="86"/>
      <c r="AW464" s="86"/>
      <c r="AX464" s="86"/>
      <c r="AY464" s="86"/>
      <c r="AZ464" s="86"/>
      <c r="BA464" s="86"/>
      <c r="BB464" s="86"/>
      <c r="BC464" s="86"/>
      <c r="BD464" s="86"/>
      <c r="BE464" s="86"/>
      <c r="BF464" s="86"/>
      <c r="BG464" s="86"/>
      <c r="BH464" s="86"/>
      <c r="BI464" s="86"/>
      <c r="BJ464" s="78"/>
      <c r="BK464" s="78"/>
      <c r="BL464" s="78"/>
      <c r="BM464" s="78"/>
      <c r="BN464" s="78"/>
      <c r="BO464" s="78"/>
      <c r="BP464" s="78"/>
      <c r="BQ464" s="78"/>
      <c r="BR464" s="78"/>
      <c r="BS464" s="78"/>
      <c r="BT464" s="78"/>
      <c r="BU464" s="92"/>
      <c r="BV464" s="92"/>
      <c r="BW464" s="78"/>
      <c r="BX464" s="78"/>
      <c r="BY464" s="78"/>
      <c r="BZ464" s="78"/>
      <c r="CA464" s="78"/>
      <c r="CB464" s="78"/>
      <c r="CC464" s="78"/>
      <c r="CD464" s="78"/>
      <c r="CE464" s="78"/>
      <c r="CF464" s="80"/>
    </row>
    <row r="465" spans="1:84" ht="31.5" x14ac:dyDescent="0.25">
      <c r="A465" s="99" t="s">
        <v>636</v>
      </c>
      <c r="B465" s="100" t="s">
        <v>660</v>
      </c>
      <c r="C465" s="84"/>
      <c r="D465" s="15" t="s">
        <v>385</v>
      </c>
      <c r="E465" s="150"/>
      <c r="F465" s="124" t="s">
        <v>310</v>
      </c>
      <c r="G465" s="124" t="s">
        <v>13</v>
      </c>
      <c r="H465" s="126" t="s">
        <v>353</v>
      </c>
      <c r="I465" s="136">
        <v>0</v>
      </c>
      <c r="J465" s="125" t="s">
        <v>79</v>
      </c>
      <c r="K465" s="18">
        <v>46508</v>
      </c>
      <c r="L465" s="18">
        <v>46522</v>
      </c>
      <c r="M465" s="76"/>
      <c r="N465" s="77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  <c r="AQ465" s="86"/>
      <c r="AR465" s="86"/>
      <c r="AS465" s="86"/>
      <c r="AT465" s="86"/>
      <c r="AU465" s="86"/>
      <c r="AV465" s="86"/>
      <c r="AW465" s="86"/>
      <c r="AX465" s="86"/>
      <c r="AY465" s="86"/>
      <c r="AZ465" s="86"/>
      <c r="BA465" s="86"/>
      <c r="BB465" s="86"/>
      <c r="BC465" s="86"/>
      <c r="BD465" s="86"/>
      <c r="BE465" s="86"/>
      <c r="BF465" s="86"/>
      <c r="BG465" s="86"/>
      <c r="BH465" s="86"/>
      <c r="BI465" s="86"/>
      <c r="BJ465" s="86"/>
      <c r="BK465" s="86"/>
      <c r="BL465" s="86"/>
      <c r="BM465" s="86"/>
      <c r="BN465" s="86"/>
      <c r="BO465" s="86"/>
      <c r="BP465" s="86"/>
      <c r="BQ465" s="86"/>
      <c r="BR465" s="86"/>
      <c r="BS465" s="86"/>
      <c r="BT465" s="86"/>
      <c r="BU465" s="87"/>
      <c r="BV465" s="87"/>
      <c r="BW465" s="86"/>
      <c r="BX465" s="86"/>
      <c r="BY465" s="86"/>
      <c r="BZ465" s="86"/>
      <c r="CA465" s="86"/>
      <c r="CB465" s="86"/>
      <c r="CC465" s="86"/>
      <c r="CD465" s="86"/>
      <c r="CE465" s="86"/>
      <c r="CF465" s="88"/>
    </row>
    <row r="466" spans="1:84" ht="15.75" x14ac:dyDescent="0.25">
      <c r="A466" s="99" t="s">
        <v>636</v>
      </c>
      <c r="B466" s="100" t="s">
        <v>661</v>
      </c>
      <c r="C466" s="84"/>
      <c r="D466" s="15" t="s">
        <v>387</v>
      </c>
      <c r="E466" s="150"/>
      <c r="F466" s="124" t="s">
        <v>274</v>
      </c>
      <c r="G466" s="124" t="s">
        <v>13</v>
      </c>
      <c r="H466" s="126" t="s">
        <v>353</v>
      </c>
      <c r="I466" s="136">
        <v>0</v>
      </c>
      <c r="J466" s="125" t="s">
        <v>79</v>
      </c>
      <c r="K466" s="18">
        <v>46508</v>
      </c>
      <c r="L466" s="18">
        <v>46522</v>
      </c>
      <c r="M466" s="76"/>
      <c r="N466" s="77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  <c r="AQ466" s="86"/>
      <c r="AR466" s="86"/>
      <c r="AS466" s="86"/>
      <c r="AT466" s="86"/>
      <c r="AU466" s="86"/>
      <c r="AV466" s="86"/>
      <c r="AW466" s="86"/>
      <c r="AX466" s="86"/>
      <c r="AY466" s="86"/>
      <c r="AZ466" s="86"/>
      <c r="BA466" s="86"/>
      <c r="BB466" s="86"/>
      <c r="BC466" s="86"/>
      <c r="BD466" s="86"/>
      <c r="BE466" s="86"/>
      <c r="BF466" s="86"/>
      <c r="BG466" s="86"/>
      <c r="BH466" s="86"/>
      <c r="BI466" s="86"/>
      <c r="BJ466" s="86"/>
      <c r="BK466" s="86"/>
      <c r="BL466" s="86"/>
      <c r="BM466" s="86"/>
      <c r="BN466" s="86"/>
      <c r="BO466" s="86"/>
      <c r="BP466" s="86"/>
      <c r="BQ466" s="86"/>
      <c r="BR466" s="86"/>
      <c r="BS466" s="86"/>
      <c r="BT466" s="86"/>
      <c r="BU466" s="87"/>
      <c r="BV466" s="87"/>
      <c r="BW466" s="86"/>
      <c r="BX466" s="86"/>
      <c r="BY466" s="86"/>
      <c r="BZ466" s="86"/>
      <c r="CA466" s="86"/>
      <c r="CB466" s="86"/>
      <c r="CC466" s="86"/>
      <c r="CD466" s="86"/>
      <c r="CE466" s="86"/>
      <c r="CF466" s="88"/>
    </row>
    <row r="467" spans="1:84" ht="47.25" x14ac:dyDescent="0.25">
      <c r="A467" s="99" t="s">
        <v>636</v>
      </c>
      <c r="B467" s="100" t="s">
        <v>662</v>
      </c>
      <c r="C467" s="84"/>
      <c r="D467" s="43" t="s">
        <v>663</v>
      </c>
      <c r="E467" s="150"/>
      <c r="F467" s="124" t="s">
        <v>13</v>
      </c>
      <c r="G467" s="124" t="s">
        <v>664</v>
      </c>
      <c r="H467" s="126" t="s">
        <v>353</v>
      </c>
      <c r="I467" s="136">
        <v>0</v>
      </c>
      <c r="J467" s="125" t="s">
        <v>79</v>
      </c>
      <c r="K467" s="18">
        <v>46508</v>
      </c>
      <c r="L467" s="18">
        <v>46522</v>
      </c>
      <c r="M467" s="76"/>
      <c r="N467" s="77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  <c r="AQ467" s="86"/>
      <c r="AR467" s="86"/>
      <c r="AS467" s="86"/>
      <c r="AT467" s="86"/>
      <c r="AU467" s="86"/>
      <c r="AV467" s="86"/>
      <c r="AW467" s="86"/>
      <c r="AX467" s="86"/>
      <c r="AY467" s="86"/>
      <c r="AZ467" s="86"/>
      <c r="BA467" s="86"/>
      <c r="BB467" s="86"/>
      <c r="BC467" s="86"/>
      <c r="BD467" s="86"/>
      <c r="BE467" s="86"/>
      <c r="BF467" s="86"/>
      <c r="BG467" s="86"/>
      <c r="BH467" s="86"/>
      <c r="BI467" s="86"/>
      <c r="BJ467" s="86"/>
      <c r="BK467" s="86"/>
      <c r="BL467" s="86"/>
      <c r="BM467" s="86"/>
      <c r="BN467" s="86"/>
      <c r="BO467" s="86"/>
      <c r="BP467" s="86"/>
      <c r="BQ467" s="86"/>
      <c r="BR467" s="86"/>
      <c r="BS467" s="86"/>
      <c r="BT467" s="86"/>
      <c r="BU467" s="86"/>
      <c r="BV467" s="89"/>
      <c r="BW467" s="86"/>
      <c r="BX467" s="86"/>
      <c r="BY467" s="86"/>
      <c r="BZ467" s="86"/>
      <c r="CA467" s="86"/>
      <c r="CB467" s="86"/>
      <c r="CC467" s="86"/>
      <c r="CD467" s="86"/>
      <c r="CE467" s="86"/>
      <c r="CF467" s="88"/>
    </row>
    <row r="468" spans="1:84" ht="15.75" x14ac:dyDescent="0.25">
      <c r="A468" s="99" t="s">
        <v>665</v>
      </c>
      <c r="B468" s="13">
        <v>9</v>
      </c>
      <c r="C468" s="101"/>
      <c r="D468" s="37" t="s">
        <v>666</v>
      </c>
      <c r="E468" s="150"/>
      <c r="F468" s="124" t="s">
        <v>13</v>
      </c>
      <c r="G468" s="124" t="s">
        <v>13</v>
      </c>
      <c r="H468" s="129" t="s">
        <v>353</v>
      </c>
      <c r="I468" s="105"/>
      <c r="J468" s="124" t="s">
        <v>79</v>
      </c>
      <c r="K468" s="18">
        <v>46249</v>
      </c>
      <c r="L468" s="18">
        <v>46522</v>
      </c>
      <c r="M468" s="76"/>
      <c r="N468" s="77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104"/>
      <c r="AN468" s="104"/>
      <c r="AO468" s="104"/>
      <c r="AP468" s="104"/>
      <c r="AQ468" s="104"/>
      <c r="AR468" s="104"/>
      <c r="AS468" s="104"/>
      <c r="AT468" s="104"/>
      <c r="AU468" s="104"/>
      <c r="AV468" s="104"/>
      <c r="AW468" s="104"/>
      <c r="AX468" s="104"/>
      <c r="AY468" s="104"/>
      <c r="AZ468" s="104"/>
      <c r="BA468" s="104"/>
      <c r="BB468" s="104"/>
      <c r="BC468" s="104"/>
      <c r="BD468" s="104"/>
      <c r="BE468" s="104"/>
      <c r="BF468" s="104"/>
      <c r="BG468" s="104"/>
      <c r="BH468" s="104"/>
      <c r="BI468" s="104"/>
      <c r="BJ468" s="104"/>
      <c r="BK468" s="104"/>
      <c r="BL468" s="104"/>
      <c r="BM468" s="104"/>
      <c r="BN468" s="104"/>
      <c r="BO468" s="104"/>
      <c r="BP468" s="104"/>
      <c r="BQ468" s="104"/>
      <c r="BR468" s="104"/>
      <c r="BS468" s="104"/>
      <c r="BT468" s="104"/>
      <c r="BU468" s="104"/>
      <c r="BV468" s="104"/>
      <c r="BW468" s="78"/>
      <c r="BX468" s="78"/>
      <c r="BY468" s="78"/>
      <c r="BZ468" s="78"/>
      <c r="CA468" s="78"/>
      <c r="CB468" s="78"/>
      <c r="CC468" s="78"/>
      <c r="CD468" s="78"/>
      <c r="CE468" s="78"/>
      <c r="CF468" s="80"/>
    </row>
    <row r="469" spans="1:84" ht="15.75" x14ac:dyDescent="0.25">
      <c r="A469" s="99" t="s">
        <v>665</v>
      </c>
      <c r="B469" s="100" t="s">
        <v>667</v>
      </c>
      <c r="C469" s="90"/>
      <c r="D469" s="15" t="s">
        <v>340</v>
      </c>
      <c r="E469" s="150"/>
      <c r="F469" s="124" t="s">
        <v>13</v>
      </c>
      <c r="G469" s="124" t="s">
        <v>13</v>
      </c>
      <c r="H469" s="126" t="s">
        <v>353</v>
      </c>
      <c r="I469" s="75"/>
      <c r="J469" s="125" t="s">
        <v>79</v>
      </c>
      <c r="K469" s="18">
        <v>46296</v>
      </c>
      <c r="L469" s="18">
        <v>46433</v>
      </c>
      <c r="M469" s="76"/>
      <c r="N469" s="77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93"/>
      <c r="AT469" s="93"/>
      <c r="AU469" s="93"/>
      <c r="AV469" s="93"/>
      <c r="AW469" s="93"/>
      <c r="AX469" s="93"/>
      <c r="AY469" s="93"/>
      <c r="AZ469" s="93"/>
      <c r="BA469" s="93"/>
      <c r="BB469" s="93"/>
      <c r="BC469" s="93"/>
      <c r="BD469" s="93"/>
      <c r="BE469" s="93"/>
      <c r="BF469" s="93"/>
      <c r="BG469" s="93"/>
      <c r="BH469" s="93"/>
      <c r="BI469" s="93"/>
      <c r="BJ469" s="78"/>
      <c r="BK469" s="78"/>
      <c r="BL469" s="78"/>
      <c r="BM469" s="78"/>
      <c r="BN469" s="78"/>
      <c r="BO469" s="78"/>
      <c r="BP469" s="78"/>
      <c r="BQ469" s="78"/>
      <c r="BR469" s="78"/>
      <c r="BS469" s="78"/>
      <c r="BT469" s="78"/>
      <c r="BU469" s="78"/>
      <c r="BV469" s="78"/>
      <c r="BW469" s="78"/>
      <c r="BX469" s="78"/>
      <c r="BY469" s="78"/>
      <c r="BZ469" s="78"/>
      <c r="CA469" s="78"/>
      <c r="CB469" s="78"/>
      <c r="CC469" s="78"/>
      <c r="CD469" s="78"/>
      <c r="CE469" s="78"/>
      <c r="CF469" s="80"/>
    </row>
    <row r="470" spans="1:84" ht="15.75" x14ac:dyDescent="0.25">
      <c r="A470" s="99" t="s">
        <v>665</v>
      </c>
      <c r="B470" s="100" t="s">
        <v>668</v>
      </c>
      <c r="C470" s="73"/>
      <c r="D470" s="108" t="s">
        <v>669</v>
      </c>
      <c r="E470" s="150"/>
      <c r="F470" s="124" t="s">
        <v>13</v>
      </c>
      <c r="G470" s="124" t="s">
        <v>13</v>
      </c>
      <c r="H470" s="126" t="s">
        <v>353</v>
      </c>
      <c r="I470" s="136">
        <v>0</v>
      </c>
      <c r="J470" s="125" t="s">
        <v>79</v>
      </c>
      <c r="K470" s="18">
        <v>46296</v>
      </c>
      <c r="L470" s="18">
        <v>46433</v>
      </c>
      <c r="M470" s="76"/>
      <c r="N470" s="77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92"/>
      <c r="AT470" s="92"/>
      <c r="AU470" s="92"/>
      <c r="AV470" s="92"/>
      <c r="AW470" s="92"/>
      <c r="AX470" s="92"/>
      <c r="AY470" s="92"/>
      <c r="AZ470" s="92"/>
      <c r="BA470" s="92"/>
      <c r="BB470" s="92"/>
      <c r="BC470" s="92"/>
      <c r="BD470" s="92"/>
      <c r="BE470" s="92"/>
      <c r="BF470" s="92"/>
      <c r="BG470" s="92"/>
      <c r="BH470" s="92"/>
      <c r="BI470" s="92"/>
      <c r="BJ470" s="78"/>
      <c r="BK470" s="78"/>
      <c r="BL470" s="78"/>
      <c r="BM470" s="78"/>
      <c r="BN470" s="78"/>
      <c r="BO470" s="78"/>
      <c r="BP470" s="78"/>
      <c r="BQ470" s="78"/>
      <c r="BR470" s="78"/>
      <c r="BS470" s="78"/>
      <c r="BT470" s="78"/>
      <c r="BU470" s="78"/>
      <c r="BV470" s="78"/>
      <c r="BW470" s="78"/>
      <c r="BX470" s="78"/>
      <c r="BY470" s="78"/>
      <c r="BZ470" s="78"/>
      <c r="CA470" s="78"/>
      <c r="CB470" s="78"/>
      <c r="CC470" s="78"/>
      <c r="CD470" s="78"/>
      <c r="CE470" s="78"/>
      <c r="CF470" s="80"/>
    </row>
    <row r="471" spans="1:84" ht="15.75" x14ac:dyDescent="0.25">
      <c r="A471" s="99" t="s">
        <v>665</v>
      </c>
      <c r="B471" s="100" t="s">
        <v>670</v>
      </c>
      <c r="C471" s="90"/>
      <c r="D471" s="15" t="s">
        <v>352</v>
      </c>
      <c r="E471" s="150"/>
      <c r="F471" s="124" t="s">
        <v>13</v>
      </c>
      <c r="G471" s="124" t="s">
        <v>13</v>
      </c>
      <c r="H471" s="126" t="s">
        <v>353</v>
      </c>
      <c r="I471" s="75"/>
      <c r="J471" s="125" t="s">
        <v>79</v>
      </c>
      <c r="K471" s="18">
        <v>46419</v>
      </c>
      <c r="L471" s="18">
        <v>46461</v>
      </c>
      <c r="M471" s="76"/>
      <c r="N471" s="77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  <c r="AY471" s="78"/>
      <c r="AZ471" s="78"/>
      <c r="BA471" s="78"/>
      <c r="BB471" s="78"/>
      <c r="BC471" s="78"/>
      <c r="BD471" s="78"/>
      <c r="BE471" s="78"/>
      <c r="BF471" s="78"/>
      <c r="BG471" s="78"/>
      <c r="BH471" s="78"/>
      <c r="BI471" s="78"/>
      <c r="BJ471" s="93"/>
      <c r="BK471" s="93"/>
      <c r="BL471" s="93"/>
      <c r="BM471" s="93"/>
      <c r="BN471" s="78"/>
      <c r="BO471" s="78"/>
      <c r="BP471" s="78"/>
      <c r="BQ471" s="78"/>
      <c r="BR471" s="78"/>
      <c r="BS471" s="78"/>
      <c r="BT471" s="78"/>
      <c r="BU471" s="78"/>
      <c r="BV471" s="78"/>
      <c r="BW471" s="78"/>
      <c r="BX471" s="78"/>
      <c r="BY471" s="78"/>
      <c r="BZ471" s="78"/>
      <c r="CA471" s="78"/>
      <c r="CB471" s="78"/>
      <c r="CC471" s="78"/>
      <c r="CD471" s="78"/>
      <c r="CE471" s="78"/>
      <c r="CF471" s="80"/>
    </row>
    <row r="472" spans="1:84" ht="15.75" x14ac:dyDescent="0.25">
      <c r="A472" s="99" t="s">
        <v>665</v>
      </c>
      <c r="B472" s="100" t="s">
        <v>671</v>
      </c>
      <c r="C472" s="73"/>
      <c r="D472" s="108" t="s">
        <v>612</v>
      </c>
      <c r="E472" s="150"/>
      <c r="F472" s="124" t="s">
        <v>13</v>
      </c>
      <c r="G472" s="124" t="s">
        <v>13</v>
      </c>
      <c r="H472" s="126" t="s">
        <v>353</v>
      </c>
      <c r="I472" s="136">
        <v>0</v>
      </c>
      <c r="J472" s="125" t="s">
        <v>79</v>
      </c>
      <c r="K472" s="18">
        <v>46419</v>
      </c>
      <c r="L472" s="18">
        <v>46461</v>
      </c>
      <c r="M472" s="76"/>
      <c r="N472" s="77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  <c r="AY472" s="78"/>
      <c r="AZ472" s="78"/>
      <c r="BA472" s="78"/>
      <c r="BB472" s="78"/>
      <c r="BC472" s="78"/>
      <c r="BD472" s="78"/>
      <c r="BE472" s="78"/>
      <c r="BF472" s="78"/>
      <c r="BG472" s="78"/>
      <c r="BH472" s="78"/>
      <c r="BI472" s="78"/>
      <c r="BJ472" s="92"/>
      <c r="BK472" s="92"/>
      <c r="BL472" s="92"/>
      <c r="BM472" s="92"/>
      <c r="BN472" s="78"/>
      <c r="BO472" s="78"/>
      <c r="BP472" s="78"/>
      <c r="BQ472" s="78"/>
      <c r="BR472" s="78"/>
      <c r="BS472" s="78"/>
      <c r="BT472" s="78"/>
      <c r="BU472" s="78"/>
      <c r="BV472" s="78"/>
      <c r="BW472" s="78"/>
      <c r="BX472" s="78"/>
      <c r="BY472" s="78"/>
      <c r="BZ472" s="78"/>
      <c r="CA472" s="78"/>
      <c r="CB472" s="78"/>
      <c r="CC472" s="78"/>
      <c r="CD472" s="78"/>
      <c r="CE472" s="78"/>
      <c r="CF472" s="80"/>
    </row>
    <row r="473" spans="1:84" ht="15.75" x14ac:dyDescent="0.25">
      <c r="A473" s="99" t="s">
        <v>665</v>
      </c>
      <c r="B473" s="100" t="s">
        <v>672</v>
      </c>
      <c r="C473" s="73"/>
      <c r="D473" s="108" t="s">
        <v>614</v>
      </c>
      <c r="E473" s="150"/>
      <c r="F473" s="124" t="s">
        <v>13</v>
      </c>
      <c r="G473" s="124" t="s">
        <v>13</v>
      </c>
      <c r="H473" s="126" t="s">
        <v>353</v>
      </c>
      <c r="I473" s="136">
        <v>0</v>
      </c>
      <c r="J473" s="125" t="s">
        <v>79</v>
      </c>
      <c r="K473" s="18">
        <v>46419</v>
      </c>
      <c r="L473" s="18">
        <v>46446</v>
      </c>
      <c r="M473" s="76"/>
      <c r="N473" s="77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  <c r="AY473" s="78"/>
      <c r="AZ473" s="78"/>
      <c r="BA473" s="78"/>
      <c r="BB473" s="78"/>
      <c r="BC473" s="78"/>
      <c r="BD473" s="78"/>
      <c r="BE473" s="78"/>
      <c r="BF473" s="78"/>
      <c r="BG473" s="78"/>
      <c r="BH473" s="78"/>
      <c r="BI473" s="78"/>
      <c r="BJ473" s="92"/>
      <c r="BK473" s="92"/>
      <c r="BL473" s="78"/>
      <c r="BM473" s="78"/>
      <c r="BN473" s="78"/>
      <c r="BO473" s="78"/>
      <c r="BP473" s="78"/>
      <c r="BQ473" s="78"/>
      <c r="BR473" s="78"/>
      <c r="BS473" s="78"/>
      <c r="BT473" s="78"/>
      <c r="BU473" s="78"/>
      <c r="BV473" s="78"/>
      <c r="BW473" s="78"/>
      <c r="BX473" s="78"/>
      <c r="BY473" s="78"/>
      <c r="BZ473" s="78"/>
      <c r="CA473" s="78"/>
      <c r="CB473" s="78"/>
      <c r="CC473" s="78"/>
      <c r="CD473" s="78"/>
      <c r="CE473" s="78"/>
      <c r="CF473" s="80"/>
    </row>
    <row r="474" spans="1:84" ht="15.75" x14ac:dyDescent="0.25">
      <c r="A474" s="99" t="s">
        <v>665</v>
      </c>
      <c r="B474" s="100" t="s">
        <v>673</v>
      </c>
      <c r="C474" s="73"/>
      <c r="D474" s="108" t="s">
        <v>362</v>
      </c>
      <c r="E474" s="150"/>
      <c r="F474" s="124" t="s">
        <v>13</v>
      </c>
      <c r="G474" s="124" t="s">
        <v>13</v>
      </c>
      <c r="H474" s="126" t="s">
        <v>353</v>
      </c>
      <c r="I474" s="136">
        <v>0</v>
      </c>
      <c r="J474" s="125" t="s">
        <v>79</v>
      </c>
      <c r="K474" s="18">
        <v>46433</v>
      </c>
      <c r="L474" s="18">
        <v>46461</v>
      </c>
      <c r="M474" s="76"/>
      <c r="N474" s="77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  <c r="AY474" s="78"/>
      <c r="AZ474" s="78"/>
      <c r="BA474" s="78"/>
      <c r="BB474" s="78"/>
      <c r="BC474" s="78"/>
      <c r="BD474" s="78"/>
      <c r="BE474" s="78"/>
      <c r="BF474" s="78"/>
      <c r="BG474" s="78"/>
      <c r="BH474" s="78"/>
      <c r="BI474" s="78"/>
      <c r="BJ474" s="78"/>
      <c r="BK474" s="78"/>
      <c r="BL474" s="79"/>
      <c r="BM474" s="79"/>
      <c r="BN474" s="78"/>
      <c r="BO474" s="78"/>
      <c r="BP474" s="78"/>
      <c r="BQ474" s="78"/>
      <c r="BR474" s="78"/>
      <c r="BS474" s="78"/>
      <c r="BT474" s="78"/>
      <c r="BU474" s="78"/>
      <c r="BV474" s="78"/>
      <c r="BW474" s="78"/>
      <c r="BX474" s="78"/>
      <c r="BY474" s="78"/>
      <c r="BZ474" s="78"/>
      <c r="CA474" s="78"/>
      <c r="CB474" s="78"/>
      <c r="CC474" s="78"/>
      <c r="CD474" s="78"/>
      <c r="CE474" s="78"/>
      <c r="CF474" s="80"/>
    </row>
    <row r="475" spans="1:84" ht="15.75" x14ac:dyDescent="0.25">
      <c r="A475" s="99" t="s">
        <v>665</v>
      </c>
      <c r="B475" s="100" t="s">
        <v>674</v>
      </c>
      <c r="C475" s="90"/>
      <c r="D475" s="15" t="s">
        <v>364</v>
      </c>
      <c r="E475" s="150"/>
      <c r="F475" s="124" t="s">
        <v>13</v>
      </c>
      <c r="G475" s="124" t="s">
        <v>13</v>
      </c>
      <c r="H475" s="126" t="s">
        <v>353</v>
      </c>
      <c r="I475" s="75"/>
      <c r="J475" s="125" t="s">
        <v>79</v>
      </c>
      <c r="K475" s="18">
        <v>46447</v>
      </c>
      <c r="L475" s="18">
        <v>46492</v>
      </c>
      <c r="M475" s="76"/>
      <c r="N475" s="77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  <c r="AY475" s="78"/>
      <c r="AZ475" s="78"/>
      <c r="BA475" s="78"/>
      <c r="BB475" s="78"/>
      <c r="BC475" s="78"/>
      <c r="BD475" s="78"/>
      <c r="BE475" s="78"/>
      <c r="BF475" s="78"/>
      <c r="BG475" s="78"/>
      <c r="BH475" s="78"/>
      <c r="BI475" s="78"/>
      <c r="BJ475" s="78"/>
      <c r="BK475" s="78"/>
      <c r="BL475" s="78"/>
      <c r="BM475" s="78"/>
      <c r="BN475" s="93"/>
      <c r="BO475" s="93"/>
      <c r="BP475" s="93"/>
      <c r="BQ475" s="93"/>
      <c r="BR475" s="93"/>
      <c r="BS475" s="78"/>
      <c r="BT475" s="78"/>
      <c r="BU475" s="78"/>
      <c r="BV475" s="78"/>
      <c r="BW475" s="78"/>
      <c r="BX475" s="78"/>
      <c r="BY475" s="78"/>
      <c r="BZ475" s="78"/>
      <c r="CA475" s="78"/>
      <c r="CB475" s="78"/>
      <c r="CC475" s="78"/>
      <c r="CD475" s="78"/>
      <c r="CE475" s="78"/>
      <c r="CF475" s="80"/>
    </row>
    <row r="476" spans="1:84" ht="15.75" x14ac:dyDescent="0.25">
      <c r="A476" s="99" t="s">
        <v>665</v>
      </c>
      <c r="B476" s="100" t="s">
        <v>675</v>
      </c>
      <c r="C476" s="73"/>
      <c r="D476" s="108" t="s">
        <v>618</v>
      </c>
      <c r="E476" s="150"/>
      <c r="F476" s="124" t="s">
        <v>13</v>
      </c>
      <c r="G476" s="124" t="s">
        <v>13</v>
      </c>
      <c r="H476" s="126" t="s">
        <v>353</v>
      </c>
      <c r="I476" s="136">
        <v>0</v>
      </c>
      <c r="J476" s="125" t="s">
        <v>79</v>
      </c>
      <c r="K476" s="18">
        <v>46447</v>
      </c>
      <c r="L476" s="18">
        <v>46492</v>
      </c>
      <c r="M476" s="76"/>
      <c r="N476" s="77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  <c r="AY476" s="78"/>
      <c r="AZ476" s="78"/>
      <c r="BA476" s="78"/>
      <c r="BB476" s="78"/>
      <c r="BC476" s="78"/>
      <c r="BD476" s="78"/>
      <c r="BE476" s="78"/>
      <c r="BF476" s="78"/>
      <c r="BG476" s="78"/>
      <c r="BH476" s="78"/>
      <c r="BI476" s="78"/>
      <c r="BJ476" s="78"/>
      <c r="BK476" s="78"/>
      <c r="BL476" s="78"/>
      <c r="BM476" s="78"/>
      <c r="BN476" s="92"/>
      <c r="BO476" s="92"/>
      <c r="BP476" s="92"/>
      <c r="BQ476" s="92"/>
      <c r="BR476" s="92"/>
      <c r="BS476" s="78"/>
      <c r="BT476" s="78"/>
      <c r="BU476" s="78"/>
      <c r="BV476" s="78"/>
      <c r="BW476" s="78"/>
      <c r="BX476" s="78"/>
      <c r="BY476" s="78"/>
      <c r="BZ476" s="78"/>
      <c r="CA476" s="78"/>
      <c r="CB476" s="78"/>
      <c r="CC476" s="78"/>
      <c r="CD476" s="78"/>
      <c r="CE476" s="78"/>
      <c r="CF476" s="80"/>
    </row>
    <row r="477" spans="1:84" ht="15.75" x14ac:dyDescent="0.25">
      <c r="A477" s="99" t="s">
        <v>665</v>
      </c>
      <c r="B477" s="100" t="s">
        <v>676</v>
      </c>
      <c r="C477" s="73"/>
      <c r="D477" s="108" t="s">
        <v>620</v>
      </c>
      <c r="E477" s="150"/>
      <c r="F477" s="124" t="s">
        <v>13</v>
      </c>
      <c r="G477" s="124" t="s">
        <v>13</v>
      </c>
      <c r="H477" s="126" t="s">
        <v>353</v>
      </c>
      <c r="I477" s="136">
        <v>0</v>
      </c>
      <c r="J477" s="125" t="s">
        <v>79</v>
      </c>
      <c r="K477" s="18">
        <v>46478</v>
      </c>
      <c r="L477" s="18">
        <v>46492</v>
      </c>
      <c r="M477" s="76"/>
      <c r="N477" s="77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  <c r="AY477" s="78"/>
      <c r="AZ477" s="78"/>
      <c r="BA477" s="78"/>
      <c r="BB477" s="78"/>
      <c r="BC477" s="78"/>
      <c r="BD477" s="78"/>
      <c r="BE477" s="78"/>
      <c r="BF477" s="78"/>
      <c r="BG477" s="78"/>
      <c r="BH477" s="78"/>
      <c r="BI477" s="78"/>
      <c r="BJ477" s="78"/>
      <c r="BK477" s="78"/>
      <c r="BL477" s="78"/>
      <c r="BM477" s="78"/>
      <c r="BN477" s="78"/>
      <c r="BO477" s="78"/>
      <c r="BP477" s="78"/>
      <c r="BQ477" s="92"/>
      <c r="BR477" s="92"/>
      <c r="BS477" s="78"/>
      <c r="BT477" s="78"/>
      <c r="BU477" s="78"/>
      <c r="BV477" s="78"/>
      <c r="BW477" s="78"/>
      <c r="BX477" s="78"/>
      <c r="BY477" s="78"/>
      <c r="BZ477" s="78"/>
      <c r="CA477" s="78"/>
      <c r="CB477" s="78"/>
      <c r="CC477" s="78"/>
      <c r="CD477" s="78"/>
      <c r="CE477" s="78"/>
      <c r="CF477" s="80"/>
    </row>
    <row r="478" spans="1:84" ht="15.75" x14ac:dyDescent="0.25">
      <c r="A478" s="99" t="s">
        <v>665</v>
      </c>
      <c r="B478" s="100" t="s">
        <v>677</v>
      </c>
      <c r="C478" s="73"/>
      <c r="D478" s="108" t="s">
        <v>622</v>
      </c>
      <c r="E478" s="150"/>
      <c r="F478" s="124" t="s">
        <v>13</v>
      </c>
      <c r="G478" s="124" t="s">
        <v>13</v>
      </c>
      <c r="H478" s="126" t="s">
        <v>353</v>
      </c>
      <c r="I478" s="136">
        <v>0</v>
      </c>
      <c r="J478" s="125" t="s">
        <v>79</v>
      </c>
      <c r="K478" s="18">
        <v>46478</v>
      </c>
      <c r="L478" s="18">
        <v>46492</v>
      </c>
      <c r="M478" s="76"/>
      <c r="N478" s="77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  <c r="AY478" s="78"/>
      <c r="AZ478" s="78"/>
      <c r="BA478" s="78"/>
      <c r="BB478" s="78"/>
      <c r="BC478" s="78"/>
      <c r="BD478" s="78"/>
      <c r="BE478" s="78"/>
      <c r="BF478" s="78"/>
      <c r="BG478" s="78"/>
      <c r="BH478" s="78"/>
      <c r="BI478" s="78"/>
      <c r="BJ478" s="78"/>
      <c r="BK478" s="78"/>
      <c r="BL478" s="78"/>
      <c r="BM478" s="78"/>
      <c r="BN478" s="78"/>
      <c r="BO478" s="78"/>
      <c r="BP478" s="78"/>
      <c r="BQ478" s="92"/>
      <c r="BR478" s="92"/>
      <c r="BS478" s="78"/>
      <c r="BT478" s="78"/>
      <c r="BU478" s="78"/>
      <c r="BV478" s="78"/>
      <c r="BW478" s="78"/>
      <c r="BX478" s="78"/>
      <c r="BY478" s="78"/>
      <c r="BZ478" s="78"/>
      <c r="CA478" s="78"/>
      <c r="CB478" s="78"/>
      <c r="CC478" s="78"/>
      <c r="CD478" s="78"/>
      <c r="CE478" s="78"/>
      <c r="CF478" s="80"/>
    </row>
    <row r="479" spans="1:84" ht="15.75" x14ac:dyDescent="0.25">
      <c r="A479" s="99" t="s">
        <v>665</v>
      </c>
      <c r="B479" s="100" t="s">
        <v>678</v>
      </c>
      <c r="C479" s="73"/>
      <c r="D479" s="108" t="s">
        <v>373</v>
      </c>
      <c r="E479" s="150"/>
      <c r="F479" s="124" t="s">
        <v>13</v>
      </c>
      <c r="G479" s="124" t="s">
        <v>13</v>
      </c>
      <c r="H479" s="126" t="s">
        <v>353</v>
      </c>
      <c r="I479" s="136">
        <v>0</v>
      </c>
      <c r="J479" s="125" t="s">
        <v>79</v>
      </c>
      <c r="K479" s="18">
        <v>46478</v>
      </c>
      <c r="L479" s="18">
        <v>46492</v>
      </c>
      <c r="M479" s="76"/>
      <c r="N479" s="77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  <c r="AY479" s="78"/>
      <c r="AZ479" s="78"/>
      <c r="BA479" s="78"/>
      <c r="BB479" s="78"/>
      <c r="BC479" s="78"/>
      <c r="BD479" s="78"/>
      <c r="BE479" s="78"/>
      <c r="BF479" s="78"/>
      <c r="BG479" s="78"/>
      <c r="BH479" s="78"/>
      <c r="BI479" s="78"/>
      <c r="BJ479" s="78"/>
      <c r="BK479" s="78"/>
      <c r="BL479" s="78"/>
      <c r="BM479" s="78"/>
      <c r="BN479" s="78"/>
      <c r="BO479" s="78"/>
      <c r="BP479" s="78"/>
      <c r="BQ479" s="79"/>
      <c r="BR479" s="79"/>
      <c r="BS479" s="78"/>
      <c r="BT479" s="78"/>
      <c r="BU479" s="78"/>
      <c r="BV479" s="78"/>
      <c r="BW479" s="78"/>
      <c r="BX479" s="78"/>
      <c r="BY479" s="78"/>
      <c r="BZ479" s="78"/>
      <c r="CA479" s="78"/>
      <c r="CB479" s="78"/>
      <c r="CC479" s="78"/>
      <c r="CD479" s="78"/>
      <c r="CE479" s="78"/>
      <c r="CF479" s="80"/>
    </row>
    <row r="480" spans="1:84" ht="15.75" x14ac:dyDescent="0.25">
      <c r="A480" s="99" t="s">
        <v>665</v>
      </c>
      <c r="B480" s="100" t="s">
        <v>679</v>
      </c>
      <c r="C480" s="90"/>
      <c r="D480" s="15" t="s">
        <v>375</v>
      </c>
      <c r="E480" s="150"/>
      <c r="F480" s="124" t="s">
        <v>13</v>
      </c>
      <c r="G480" s="124" t="s">
        <v>13</v>
      </c>
      <c r="H480" s="126" t="s">
        <v>353</v>
      </c>
      <c r="I480" s="75"/>
      <c r="J480" s="125" t="s">
        <v>79</v>
      </c>
      <c r="K480" s="18">
        <v>46492</v>
      </c>
      <c r="L480" s="18">
        <v>46522</v>
      </c>
      <c r="M480" s="76"/>
      <c r="N480" s="77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  <c r="AY480" s="78"/>
      <c r="AZ480" s="78"/>
      <c r="BA480" s="78"/>
      <c r="BB480" s="78"/>
      <c r="BC480" s="78"/>
      <c r="BD480" s="78"/>
      <c r="BE480" s="78"/>
      <c r="BF480" s="78"/>
      <c r="BG480" s="78"/>
      <c r="BH480" s="78"/>
      <c r="BI480" s="78"/>
      <c r="BJ480" s="78"/>
      <c r="BK480" s="78"/>
      <c r="BL480" s="78"/>
      <c r="BM480" s="78"/>
      <c r="BN480" s="78"/>
      <c r="BO480" s="78"/>
      <c r="BP480" s="78"/>
      <c r="BQ480" s="78"/>
      <c r="BR480" s="78"/>
      <c r="BS480" s="93"/>
      <c r="BT480" s="93"/>
      <c r="BU480" s="93"/>
      <c r="BV480" s="93"/>
      <c r="BW480" s="78"/>
      <c r="BX480" s="78"/>
      <c r="BY480" s="78"/>
      <c r="BZ480" s="78"/>
      <c r="CA480" s="78"/>
      <c r="CB480" s="78"/>
      <c r="CC480" s="78"/>
      <c r="CD480" s="78"/>
      <c r="CE480" s="78"/>
      <c r="CF480" s="80"/>
    </row>
    <row r="481" spans="1:84" ht="15.75" x14ac:dyDescent="0.25">
      <c r="A481" s="99" t="s">
        <v>665</v>
      </c>
      <c r="B481" s="100" t="s">
        <v>680</v>
      </c>
      <c r="C481" s="73"/>
      <c r="D481" s="108" t="s">
        <v>626</v>
      </c>
      <c r="E481" s="150"/>
      <c r="F481" s="124" t="s">
        <v>13</v>
      </c>
      <c r="G481" s="124" t="s">
        <v>13</v>
      </c>
      <c r="H481" s="126" t="s">
        <v>353</v>
      </c>
      <c r="I481" s="136">
        <v>0</v>
      </c>
      <c r="J481" s="125" t="s">
        <v>79</v>
      </c>
      <c r="K481" s="18">
        <v>46492</v>
      </c>
      <c r="L481" s="18">
        <v>46522</v>
      </c>
      <c r="M481" s="76"/>
      <c r="N481" s="77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  <c r="AY481" s="78"/>
      <c r="AZ481" s="78"/>
      <c r="BA481" s="78"/>
      <c r="BB481" s="78"/>
      <c r="BC481" s="78"/>
      <c r="BD481" s="78"/>
      <c r="BE481" s="78"/>
      <c r="BF481" s="78"/>
      <c r="BG481" s="78"/>
      <c r="BH481" s="78"/>
      <c r="BI481" s="78"/>
      <c r="BJ481" s="78"/>
      <c r="BK481" s="78"/>
      <c r="BL481" s="78"/>
      <c r="BM481" s="78"/>
      <c r="BN481" s="78"/>
      <c r="BO481" s="78"/>
      <c r="BP481" s="78"/>
      <c r="BQ481" s="78"/>
      <c r="BR481" s="78"/>
      <c r="BS481" s="92"/>
      <c r="BT481" s="92"/>
      <c r="BU481" s="92"/>
      <c r="BV481" s="92"/>
      <c r="BW481" s="78"/>
      <c r="BX481" s="78"/>
      <c r="BY481" s="78"/>
      <c r="BZ481" s="78"/>
      <c r="CA481" s="78"/>
      <c r="CB481" s="78"/>
      <c r="CC481" s="78"/>
      <c r="CD481" s="78"/>
      <c r="CE481" s="78"/>
      <c r="CF481" s="80"/>
    </row>
    <row r="482" spans="1:84" ht="15.75" x14ac:dyDescent="0.25">
      <c r="A482" s="99" t="s">
        <v>665</v>
      </c>
      <c r="B482" s="100" t="s">
        <v>681</v>
      </c>
      <c r="C482" s="73"/>
      <c r="D482" s="108" t="s">
        <v>628</v>
      </c>
      <c r="E482" s="150"/>
      <c r="F482" s="124" t="s">
        <v>13</v>
      </c>
      <c r="G482" s="124" t="s">
        <v>13</v>
      </c>
      <c r="H482" s="126" t="s">
        <v>353</v>
      </c>
      <c r="I482" s="136">
        <v>0</v>
      </c>
      <c r="J482" s="125" t="s">
        <v>79</v>
      </c>
      <c r="K482" s="18">
        <v>46508</v>
      </c>
      <c r="L482" s="18">
        <v>46522</v>
      </c>
      <c r="M482" s="76"/>
      <c r="N482" s="77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  <c r="AY482" s="78"/>
      <c r="AZ482" s="78"/>
      <c r="BA482" s="78"/>
      <c r="BB482" s="78"/>
      <c r="BC482" s="78"/>
      <c r="BD482" s="78"/>
      <c r="BE482" s="78"/>
      <c r="BF482" s="78"/>
      <c r="BG482" s="78"/>
      <c r="BH482" s="78"/>
      <c r="BI482" s="78"/>
      <c r="BJ482" s="78"/>
      <c r="BK482" s="78"/>
      <c r="BL482" s="78"/>
      <c r="BM482" s="78"/>
      <c r="BN482" s="78"/>
      <c r="BO482" s="78"/>
      <c r="BP482" s="78"/>
      <c r="BQ482" s="78"/>
      <c r="BR482" s="78"/>
      <c r="BS482" s="78"/>
      <c r="BT482" s="78"/>
      <c r="BU482" s="92"/>
      <c r="BV482" s="92"/>
      <c r="BW482" s="78"/>
      <c r="BX482" s="78"/>
      <c r="BY482" s="78"/>
      <c r="BZ482" s="78"/>
      <c r="CA482" s="78"/>
      <c r="CB482" s="78"/>
      <c r="CC482" s="78"/>
      <c r="CD482" s="78"/>
      <c r="CE482" s="78"/>
      <c r="CF482" s="80"/>
    </row>
    <row r="483" spans="1:84" ht="15.75" x14ac:dyDescent="0.25">
      <c r="A483" s="99" t="s">
        <v>665</v>
      </c>
      <c r="B483" s="100" t="s">
        <v>682</v>
      </c>
      <c r="C483" s="73"/>
      <c r="D483" s="108" t="s">
        <v>630</v>
      </c>
      <c r="E483" s="150"/>
      <c r="F483" s="124" t="s">
        <v>13</v>
      </c>
      <c r="G483" s="124" t="s">
        <v>13</v>
      </c>
      <c r="H483" s="126" t="s">
        <v>353</v>
      </c>
      <c r="I483" s="136">
        <v>0</v>
      </c>
      <c r="J483" s="125" t="s">
        <v>79</v>
      </c>
      <c r="K483" s="18">
        <v>46508</v>
      </c>
      <c r="L483" s="18">
        <v>46522</v>
      </c>
      <c r="M483" s="76"/>
      <c r="N483" s="77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78"/>
      <c r="BH483" s="78"/>
      <c r="BI483" s="78"/>
      <c r="BJ483" s="78"/>
      <c r="BK483" s="78"/>
      <c r="BL483" s="78"/>
      <c r="BM483" s="78"/>
      <c r="BN483" s="78"/>
      <c r="BO483" s="78"/>
      <c r="BP483" s="78"/>
      <c r="BQ483" s="78"/>
      <c r="BR483" s="78"/>
      <c r="BS483" s="78"/>
      <c r="BT483" s="78"/>
      <c r="BU483" s="92"/>
      <c r="BV483" s="92"/>
      <c r="BW483" s="78"/>
      <c r="BX483" s="78"/>
      <c r="BY483" s="78"/>
      <c r="BZ483" s="78"/>
      <c r="CA483" s="78"/>
      <c r="CB483" s="78"/>
      <c r="CC483" s="78"/>
      <c r="CD483" s="78"/>
      <c r="CE483" s="78"/>
      <c r="CF483" s="80"/>
    </row>
    <row r="484" spans="1:84" ht="31.5" x14ac:dyDescent="0.25">
      <c r="A484" s="99" t="s">
        <v>665</v>
      </c>
      <c r="B484" s="100" t="s">
        <v>683</v>
      </c>
      <c r="C484" s="84"/>
      <c r="D484" s="15" t="s">
        <v>385</v>
      </c>
      <c r="E484" s="150"/>
      <c r="F484" s="124" t="s">
        <v>310</v>
      </c>
      <c r="G484" s="124" t="s">
        <v>13</v>
      </c>
      <c r="H484" s="126" t="s">
        <v>353</v>
      </c>
      <c r="I484" s="136">
        <v>0</v>
      </c>
      <c r="J484" s="125" t="s">
        <v>79</v>
      </c>
      <c r="K484" s="18">
        <v>46508</v>
      </c>
      <c r="L484" s="18">
        <v>46522</v>
      </c>
      <c r="M484" s="76"/>
      <c r="N484" s="77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78"/>
      <c r="AN484" s="78"/>
      <c r="AO484" s="78"/>
      <c r="AP484" s="78"/>
      <c r="AQ484" s="78"/>
      <c r="AR484" s="78"/>
      <c r="AS484" s="86"/>
      <c r="AT484" s="86"/>
      <c r="AU484" s="86"/>
      <c r="AV484" s="86"/>
      <c r="AW484" s="86"/>
      <c r="AX484" s="86"/>
      <c r="AY484" s="86"/>
      <c r="AZ484" s="86"/>
      <c r="BA484" s="86"/>
      <c r="BB484" s="86"/>
      <c r="BC484" s="86"/>
      <c r="BD484" s="86"/>
      <c r="BE484" s="86"/>
      <c r="BF484" s="86"/>
      <c r="BG484" s="86"/>
      <c r="BH484" s="86"/>
      <c r="BI484" s="86"/>
      <c r="BJ484" s="86"/>
      <c r="BK484" s="86"/>
      <c r="BL484" s="86"/>
      <c r="BM484" s="86"/>
      <c r="BN484" s="86"/>
      <c r="BO484" s="86"/>
      <c r="BP484" s="86"/>
      <c r="BQ484" s="86"/>
      <c r="BR484" s="86"/>
      <c r="BS484" s="86"/>
      <c r="BT484" s="86"/>
      <c r="BU484" s="87"/>
      <c r="BV484" s="87"/>
      <c r="BW484" s="86"/>
      <c r="BX484" s="86"/>
      <c r="BY484" s="86"/>
      <c r="BZ484" s="86"/>
      <c r="CA484" s="86"/>
      <c r="CB484" s="86"/>
      <c r="CC484" s="86"/>
      <c r="CD484" s="86"/>
      <c r="CE484" s="86"/>
      <c r="CF484" s="88"/>
    </row>
    <row r="485" spans="1:84" ht="15.75" x14ac:dyDescent="0.25">
      <c r="A485" s="99" t="s">
        <v>665</v>
      </c>
      <c r="B485" s="100" t="s">
        <v>684</v>
      </c>
      <c r="C485" s="84"/>
      <c r="D485" s="15" t="s">
        <v>387</v>
      </c>
      <c r="E485" s="150"/>
      <c r="F485" s="124" t="s">
        <v>274</v>
      </c>
      <c r="G485" s="124" t="s">
        <v>13</v>
      </c>
      <c r="H485" s="126" t="s">
        <v>353</v>
      </c>
      <c r="I485" s="136">
        <v>0</v>
      </c>
      <c r="J485" s="125" t="s">
        <v>79</v>
      </c>
      <c r="K485" s="18">
        <v>46508</v>
      </c>
      <c r="L485" s="18">
        <v>46522</v>
      </c>
      <c r="M485" s="76"/>
      <c r="N485" s="77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  <c r="AY485" s="78"/>
      <c r="AZ485" s="78"/>
      <c r="BA485" s="78"/>
      <c r="BB485" s="78"/>
      <c r="BC485" s="78"/>
      <c r="BD485" s="78"/>
      <c r="BE485" s="78"/>
      <c r="BF485" s="78"/>
      <c r="BG485" s="78"/>
      <c r="BH485" s="78"/>
      <c r="BI485" s="78"/>
      <c r="BJ485" s="78"/>
      <c r="BK485" s="78"/>
      <c r="BL485" s="78"/>
      <c r="BM485" s="78"/>
      <c r="BN485" s="78"/>
      <c r="BO485" s="78"/>
      <c r="BP485" s="78"/>
      <c r="BQ485" s="78"/>
      <c r="BR485" s="78"/>
      <c r="BS485" s="78"/>
      <c r="BT485" s="78"/>
      <c r="BU485" s="87"/>
      <c r="BV485" s="87"/>
      <c r="BW485" s="86"/>
      <c r="BX485" s="86"/>
      <c r="BY485" s="86"/>
      <c r="BZ485" s="86"/>
      <c r="CA485" s="86"/>
      <c r="CB485" s="86"/>
      <c r="CC485" s="86"/>
      <c r="CD485" s="86"/>
      <c r="CE485" s="86"/>
      <c r="CF485" s="88"/>
    </row>
    <row r="486" spans="1:84" ht="47.25" x14ac:dyDescent="0.25">
      <c r="A486" s="99" t="s">
        <v>665</v>
      </c>
      <c r="B486" s="100" t="s">
        <v>685</v>
      </c>
      <c r="C486" s="84"/>
      <c r="D486" s="43" t="s">
        <v>686</v>
      </c>
      <c r="E486" s="150"/>
      <c r="F486" s="124" t="s">
        <v>13</v>
      </c>
      <c r="G486" s="124" t="s">
        <v>687</v>
      </c>
      <c r="H486" s="126" t="s">
        <v>353</v>
      </c>
      <c r="I486" s="136">
        <v>0</v>
      </c>
      <c r="J486" s="125" t="s">
        <v>79</v>
      </c>
      <c r="K486" s="18">
        <v>46508</v>
      </c>
      <c r="L486" s="18">
        <v>46522</v>
      </c>
      <c r="M486" s="76"/>
      <c r="N486" s="77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  <c r="AQ486" s="86"/>
      <c r="AR486" s="78"/>
      <c r="AS486" s="78"/>
      <c r="AT486" s="78"/>
      <c r="AU486" s="78"/>
      <c r="AV486" s="78"/>
      <c r="AW486" s="78"/>
      <c r="AX486" s="78"/>
      <c r="AY486" s="78"/>
      <c r="AZ486" s="78"/>
      <c r="BA486" s="78"/>
      <c r="BB486" s="78"/>
      <c r="BC486" s="78"/>
      <c r="BD486" s="78"/>
      <c r="BE486" s="78"/>
      <c r="BF486" s="78"/>
      <c r="BG486" s="78"/>
      <c r="BH486" s="78"/>
      <c r="BI486" s="78"/>
      <c r="BJ486" s="78"/>
      <c r="BK486" s="78"/>
      <c r="BL486" s="78"/>
      <c r="BM486" s="78"/>
      <c r="BN486" s="78"/>
      <c r="BO486" s="78"/>
      <c r="BP486" s="78"/>
      <c r="BQ486" s="78"/>
      <c r="BR486" s="78"/>
      <c r="BS486" s="78"/>
      <c r="BT486" s="78"/>
      <c r="BU486" s="78"/>
      <c r="BV486" s="89"/>
      <c r="BW486" s="86"/>
      <c r="BX486" s="86"/>
      <c r="BY486" s="86"/>
      <c r="BZ486" s="86"/>
      <c r="CA486" s="86"/>
      <c r="CB486" s="86"/>
      <c r="CC486" s="86"/>
      <c r="CD486" s="86"/>
      <c r="CE486" s="86"/>
      <c r="CF486" s="88"/>
    </row>
    <row r="487" spans="1:84" ht="15.75" x14ac:dyDescent="0.25">
      <c r="A487" s="99" t="s">
        <v>688</v>
      </c>
      <c r="B487" s="13">
        <v>10</v>
      </c>
      <c r="C487" s="101"/>
      <c r="D487" s="37" t="s">
        <v>689</v>
      </c>
      <c r="E487" s="150"/>
      <c r="F487" s="124" t="s">
        <v>13</v>
      </c>
      <c r="G487" s="124" t="s">
        <v>13</v>
      </c>
      <c r="H487" s="129" t="s">
        <v>353</v>
      </c>
      <c r="I487" s="105"/>
      <c r="J487" s="124" t="s">
        <v>79</v>
      </c>
      <c r="K487" s="18">
        <v>46249</v>
      </c>
      <c r="L487" s="18">
        <v>46522</v>
      </c>
      <c r="M487" s="76"/>
      <c r="N487" s="77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104"/>
      <c r="AN487" s="104"/>
      <c r="AO487" s="104"/>
      <c r="AP487" s="104"/>
      <c r="AQ487" s="104"/>
      <c r="AR487" s="104"/>
      <c r="AS487" s="104"/>
      <c r="AT487" s="104"/>
      <c r="AU487" s="104"/>
      <c r="AV487" s="104"/>
      <c r="AW487" s="104"/>
      <c r="AX487" s="104"/>
      <c r="AY487" s="104"/>
      <c r="AZ487" s="104"/>
      <c r="BA487" s="104"/>
      <c r="BB487" s="104"/>
      <c r="BC487" s="104"/>
      <c r="BD487" s="104"/>
      <c r="BE487" s="104"/>
      <c r="BF487" s="104"/>
      <c r="BG487" s="104"/>
      <c r="BH487" s="104"/>
      <c r="BI487" s="104"/>
      <c r="BJ487" s="104"/>
      <c r="BK487" s="104"/>
      <c r="BL487" s="104"/>
      <c r="BM487" s="104"/>
      <c r="BN487" s="104"/>
      <c r="BO487" s="104"/>
      <c r="BP487" s="104"/>
      <c r="BQ487" s="104"/>
      <c r="BR487" s="104"/>
      <c r="BS487" s="104"/>
      <c r="BT487" s="104"/>
      <c r="BU487" s="104"/>
      <c r="BV487" s="104"/>
      <c r="BW487" s="78"/>
      <c r="BX487" s="78"/>
      <c r="BY487" s="78"/>
      <c r="BZ487" s="78"/>
      <c r="CA487" s="78"/>
      <c r="CB487" s="78"/>
      <c r="CC487" s="78"/>
      <c r="CD487" s="78"/>
      <c r="CE487" s="78"/>
      <c r="CF487" s="80"/>
    </row>
    <row r="488" spans="1:84" ht="15.75" x14ac:dyDescent="0.25">
      <c r="A488" s="99" t="s">
        <v>688</v>
      </c>
      <c r="B488" s="100" t="s">
        <v>690</v>
      </c>
      <c r="C488" s="90"/>
      <c r="D488" s="15" t="s">
        <v>340</v>
      </c>
      <c r="E488" s="150"/>
      <c r="F488" s="124" t="s">
        <v>13</v>
      </c>
      <c r="G488" s="124" t="s">
        <v>13</v>
      </c>
      <c r="H488" s="126" t="s">
        <v>353</v>
      </c>
      <c r="I488" s="75"/>
      <c r="J488" s="125" t="s">
        <v>79</v>
      </c>
      <c r="K488" s="18">
        <v>46296</v>
      </c>
      <c r="L488" s="18">
        <v>46433</v>
      </c>
      <c r="M488" s="76"/>
      <c r="N488" s="77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93"/>
      <c r="AT488" s="93"/>
      <c r="AU488" s="93"/>
      <c r="AV488" s="93"/>
      <c r="AW488" s="93"/>
      <c r="AX488" s="93"/>
      <c r="AY488" s="93"/>
      <c r="AZ488" s="93"/>
      <c r="BA488" s="93"/>
      <c r="BB488" s="93"/>
      <c r="BC488" s="93"/>
      <c r="BD488" s="93"/>
      <c r="BE488" s="93"/>
      <c r="BF488" s="93"/>
      <c r="BG488" s="93"/>
      <c r="BH488" s="93"/>
      <c r="BI488" s="93"/>
      <c r="BJ488" s="78"/>
      <c r="BK488" s="78"/>
      <c r="BL488" s="78"/>
      <c r="BM488" s="78"/>
      <c r="BN488" s="78"/>
      <c r="BO488" s="78"/>
      <c r="BP488" s="78"/>
      <c r="BQ488" s="78"/>
      <c r="BR488" s="78"/>
      <c r="BS488" s="78"/>
      <c r="BT488" s="78"/>
      <c r="BU488" s="78"/>
      <c r="BV488" s="78"/>
      <c r="BW488" s="78"/>
      <c r="BX488" s="78"/>
      <c r="BY488" s="78"/>
      <c r="BZ488" s="78"/>
      <c r="CA488" s="78"/>
      <c r="CB488" s="78"/>
      <c r="CC488" s="78"/>
      <c r="CD488" s="78"/>
      <c r="CE488" s="78"/>
      <c r="CF488" s="80"/>
    </row>
    <row r="489" spans="1:84" ht="15.75" x14ac:dyDescent="0.25">
      <c r="A489" s="99" t="s">
        <v>688</v>
      </c>
      <c r="B489" s="100" t="s">
        <v>691</v>
      </c>
      <c r="C489" s="73"/>
      <c r="D489" s="108" t="s">
        <v>669</v>
      </c>
      <c r="E489" s="150"/>
      <c r="F489" s="124" t="s">
        <v>13</v>
      </c>
      <c r="G489" s="124" t="s">
        <v>13</v>
      </c>
      <c r="H489" s="126" t="s">
        <v>353</v>
      </c>
      <c r="I489" s="136">
        <v>0</v>
      </c>
      <c r="J489" s="125" t="s">
        <v>79</v>
      </c>
      <c r="K489" s="18">
        <v>46296</v>
      </c>
      <c r="L489" s="18">
        <v>46433</v>
      </c>
      <c r="M489" s="76"/>
      <c r="N489" s="77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92"/>
      <c r="AT489" s="92"/>
      <c r="AU489" s="92"/>
      <c r="AV489" s="92"/>
      <c r="AW489" s="92"/>
      <c r="AX489" s="92"/>
      <c r="AY489" s="92"/>
      <c r="AZ489" s="92"/>
      <c r="BA489" s="92"/>
      <c r="BB489" s="92"/>
      <c r="BC489" s="92"/>
      <c r="BD489" s="92"/>
      <c r="BE489" s="92"/>
      <c r="BF489" s="92"/>
      <c r="BG489" s="92"/>
      <c r="BH489" s="92"/>
      <c r="BI489" s="92"/>
      <c r="BJ489" s="78"/>
      <c r="BK489" s="78"/>
      <c r="BL489" s="78"/>
      <c r="BM489" s="78"/>
      <c r="BN489" s="78"/>
      <c r="BO489" s="78"/>
      <c r="BP489" s="78"/>
      <c r="BQ489" s="78"/>
      <c r="BR489" s="78"/>
      <c r="BS489" s="78"/>
      <c r="BT489" s="78"/>
      <c r="BU489" s="78"/>
      <c r="BV489" s="78"/>
      <c r="BW489" s="78"/>
      <c r="BX489" s="78"/>
      <c r="BY489" s="78"/>
      <c r="BZ489" s="78"/>
      <c r="CA489" s="78"/>
      <c r="CB489" s="78"/>
      <c r="CC489" s="78"/>
      <c r="CD489" s="78"/>
      <c r="CE489" s="78"/>
      <c r="CF489" s="80"/>
    </row>
    <row r="490" spans="1:84" ht="15.75" x14ac:dyDescent="0.25">
      <c r="A490" s="99" t="s">
        <v>688</v>
      </c>
      <c r="B490" s="100" t="s">
        <v>692</v>
      </c>
      <c r="C490" s="90"/>
      <c r="D490" s="15" t="s">
        <v>352</v>
      </c>
      <c r="E490" s="150"/>
      <c r="F490" s="124" t="s">
        <v>13</v>
      </c>
      <c r="G490" s="124" t="s">
        <v>13</v>
      </c>
      <c r="H490" s="126" t="s">
        <v>353</v>
      </c>
      <c r="I490" s="75"/>
      <c r="J490" s="125" t="s">
        <v>79</v>
      </c>
      <c r="K490" s="18">
        <v>46419</v>
      </c>
      <c r="L490" s="18">
        <v>46461</v>
      </c>
      <c r="M490" s="76"/>
      <c r="N490" s="77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  <c r="AY490" s="78"/>
      <c r="AZ490" s="78"/>
      <c r="BA490" s="78"/>
      <c r="BB490" s="78"/>
      <c r="BC490" s="78"/>
      <c r="BD490" s="78"/>
      <c r="BE490" s="78"/>
      <c r="BF490" s="78"/>
      <c r="BG490" s="78"/>
      <c r="BH490" s="78"/>
      <c r="BI490" s="78"/>
      <c r="BJ490" s="93"/>
      <c r="BK490" s="93"/>
      <c r="BL490" s="93"/>
      <c r="BM490" s="93"/>
      <c r="BN490" s="78"/>
      <c r="BO490" s="78"/>
      <c r="BP490" s="78"/>
      <c r="BQ490" s="78"/>
      <c r="BR490" s="78"/>
      <c r="BS490" s="78"/>
      <c r="BT490" s="78"/>
      <c r="BU490" s="78"/>
      <c r="BV490" s="78"/>
      <c r="BW490" s="78"/>
      <c r="BX490" s="78"/>
      <c r="BY490" s="78"/>
      <c r="BZ490" s="78"/>
      <c r="CA490" s="78"/>
      <c r="CB490" s="78"/>
      <c r="CC490" s="78"/>
      <c r="CD490" s="78"/>
      <c r="CE490" s="78"/>
      <c r="CF490" s="80"/>
    </row>
    <row r="491" spans="1:84" ht="15.75" x14ac:dyDescent="0.25">
      <c r="A491" s="99" t="s">
        <v>688</v>
      </c>
      <c r="B491" s="100" t="s">
        <v>693</v>
      </c>
      <c r="C491" s="73"/>
      <c r="D491" s="108" t="s">
        <v>612</v>
      </c>
      <c r="E491" s="150"/>
      <c r="F491" s="124" t="s">
        <v>13</v>
      </c>
      <c r="G491" s="124" t="s">
        <v>13</v>
      </c>
      <c r="H491" s="126" t="s">
        <v>353</v>
      </c>
      <c r="I491" s="136">
        <v>0</v>
      </c>
      <c r="J491" s="125" t="s">
        <v>79</v>
      </c>
      <c r="K491" s="18">
        <v>46419</v>
      </c>
      <c r="L491" s="18">
        <v>46461</v>
      </c>
      <c r="M491" s="76"/>
      <c r="N491" s="77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  <c r="AY491" s="78"/>
      <c r="AZ491" s="78"/>
      <c r="BA491" s="78"/>
      <c r="BB491" s="78"/>
      <c r="BC491" s="78"/>
      <c r="BD491" s="78"/>
      <c r="BE491" s="78"/>
      <c r="BF491" s="78"/>
      <c r="BG491" s="78"/>
      <c r="BH491" s="78"/>
      <c r="BI491" s="78"/>
      <c r="BJ491" s="92"/>
      <c r="BK491" s="92"/>
      <c r="BL491" s="92"/>
      <c r="BM491" s="92"/>
      <c r="BN491" s="78"/>
      <c r="BO491" s="78"/>
      <c r="BP491" s="78"/>
      <c r="BQ491" s="78"/>
      <c r="BR491" s="78"/>
      <c r="BS491" s="78"/>
      <c r="BT491" s="78"/>
      <c r="BU491" s="78"/>
      <c r="BV491" s="78"/>
      <c r="BW491" s="78"/>
      <c r="BX491" s="78"/>
      <c r="BY491" s="78"/>
      <c r="BZ491" s="78"/>
      <c r="CA491" s="78"/>
      <c r="CB491" s="78"/>
      <c r="CC491" s="78"/>
      <c r="CD491" s="78"/>
      <c r="CE491" s="78"/>
      <c r="CF491" s="80"/>
    </row>
    <row r="492" spans="1:84" ht="15.75" x14ac:dyDescent="0.25">
      <c r="A492" s="99" t="s">
        <v>688</v>
      </c>
      <c r="B492" s="100" t="s">
        <v>694</v>
      </c>
      <c r="C492" s="73"/>
      <c r="D492" s="108" t="s">
        <v>614</v>
      </c>
      <c r="E492" s="150"/>
      <c r="F492" s="124" t="s">
        <v>13</v>
      </c>
      <c r="G492" s="124" t="s">
        <v>13</v>
      </c>
      <c r="H492" s="126" t="s">
        <v>353</v>
      </c>
      <c r="I492" s="136">
        <v>0</v>
      </c>
      <c r="J492" s="125" t="s">
        <v>79</v>
      </c>
      <c r="K492" s="18">
        <v>46419</v>
      </c>
      <c r="L492" s="18">
        <v>46446</v>
      </c>
      <c r="M492" s="76"/>
      <c r="N492" s="77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  <c r="AY492" s="78"/>
      <c r="AZ492" s="78"/>
      <c r="BA492" s="78"/>
      <c r="BB492" s="78"/>
      <c r="BC492" s="78"/>
      <c r="BD492" s="78"/>
      <c r="BE492" s="78"/>
      <c r="BF492" s="78"/>
      <c r="BG492" s="78"/>
      <c r="BH492" s="78"/>
      <c r="BI492" s="78"/>
      <c r="BJ492" s="92"/>
      <c r="BK492" s="92"/>
      <c r="BL492" s="78"/>
      <c r="BM492" s="78"/>
      <c r="BN492" s="78"/>
      <c r="BO492" s="78"/>
      <c r="BP492" s="78"/>
      <c r="BQ492" s="78"/>
      <c r="BR492" s="78"/>
      <c r="BS492" s="78"/>
      <c r="BT492" s="78"/>
      <c r="BU492" s="78"/>
      <c r="BV492" s="78"/>
      <c r="BW492" s="78"/>
      <c r="BX492" s="78"/>
      <c r="BY492" s="78"/>
      <c r="BZ492" s="78"/>
      <c r="CA492" s="78"/>
      <c r="CB492" s="78"/>
      <c r="CC492" s="78"/>
      <c r="CD492" s="78"/>
      <c r="CE492" s="78"/>
      <c r="CF492" s="80"/>
    </row>
    <row r="493" spans="1:84" ht="15.75" x14ac:dyDescent="0.25">
      <c r="A493" s="99" t="s">
        <v>688</v>
      </c>
      <c r="B493" s="100" t="s">
        <v>695</v>
      </c>
      <c r="C493" s="73"/>
      <c r="D493" s="108" t="s">
        <v>362</v>
      </c>
      <c r="E493" s="150"/>
      <c r="F493" s="124" t="s">
        <v>13</v>
      </c>
      <c r="G493" s="124" t="s">
        <v>13</v>
      </c>
      <c r="H493" s="126" t="s">
        <v>353</v>
      </c>
      <c r="I493" s="136">
        <v>0</v>
      </c>
      <c r="J493" s="125" t="s">
        <v>79</v>
      </c>
      <c r="K493" s="18">
        <v>46433</v>
      </c>
      <c r="L493" s="18">
        <v>46461</v>
      </c>
      <c r="M493" s="76"/>
      <c r="N493" s="77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78"/>
      <c r="AZ493" s="78"/>
      <c r="BA493" s="78"/>
      <c r="BB493" s="78"/>
      <c r="BC493" s="78"/>
      <c r="BD493" s="78"/>
      <c r="BE493" s="78"/>
      <c r="BF493" s="78"/>
      <c r="BG493" s="78"/>
      <c r="BH493" s="78"/>
      <c r="BI493" s="78"/>
      <c r="BJ493" s="78"/>
      <c r="BK493" s="78"/>
      <c r="BL493" s="79"/>
      <c r="BM493" s="79"/>
      <c r="BN493" s="78"/>
      <c r="BO493" s="78"/>
      <c r="BP493" s="78"/>
      <c r="BQ493" s="78"/>
      <c r="BR493" s="78"/>
      <c r="BS493" s="78"/>
      <c r="BT493" s="78"/>
      <c r="BU493" s="78"/>
      <c r="BV493" s="78"/>
      <c r="BW493" s="78"/>
      <c r="BX493" s="78"/>
      <c r="BY493" s="78"/>
      <c r="BZ493" s="78"/>
      <c r="CA493" s="78"/>
      <c r="CB493" s="78"/>
      <c r="CC493" s="78"/>
      <c r="CD493" s="78"/>
      <c r="CE493" s="78"/>
      <c r="CF493" s="80"/>
    </row>
    <row r="494" spans="1:84" ht="15.75" x14ac:dyDescent="0.25">
      <c r="A494" s="99" t="s">
        <v>688</v>
      </c>
      <c r="B494" s="100" t="s">
        <v>696</v>
      </c>
      <c r="C494" s="90"/>
      <c r="D494" s="15" t="s">
        <v>364</v>
      </c>
      <c r="E494" s="150"/>
      <c r="F494" s="124" t="s">
        <v>13</v>
      </c>
      <c r="G494" s="124" t="s">
        <v>13</v>
      </c>
      <c r="H494" s="126" t="s">
        <v>353</v>
      </c>
      <c r="I494" s="75"/>
      <c r="J494" s="125" t="s">
        <v>79</v>
      </c>
      <c r="K494" s="18">
        <v>46447</v>
      </c>
      <c r="L494" s="18">
        <v>46492</v>
      </c>
      <c r="M494" s="76"/>
      <c r="N494" s="77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  <c r="AY494" s="78"/>
      <c r="AZ494" s="78"/>
      <c r="BA494" s="78"/>
      <c r="BB494" s="78"/>
      <c r="BC494" s="78"/>
      <c r="BD494" s="78"/>
      <c r="BE494" s="78"/>
      <c r="BF494" s="78"/>
      <c r="BG494" s="78"/>
      <c r="BH494" s="78"/>
      <c r="BI494" s="78"/>
      <c r="BJ494" s="78"/>
      <c r="BK494" s="78"/>
      <c r="BL494" s="78"/>
      <c r="BM494" s="78"/>
      <c r="BN494" s="93"/>
      <c r="BO494" s="93"/>
      <c r="BP494" s="93"/>
      <c r="BQ494" s="93"/>
      <c r="BR494" s="93"/>
      <c r="BS494" s="78"/>
      <c r="BT494" s="78"/>
      <c r="BU494" s="78"/>
      <c r="BV494" s="78"/>
      <c r="BW494" s="78"/>
      <c r="BX494" s="78"/>
      <c r="BY494" s="78"/>
      <c r="BZ494" s="78"/>
      <c r="CA494" s="78"/>
      <c r="CB494" s="78"/>
      <c r="CC494" s="78"/>
      <c r="CD494" s="78"/>
      <c r="CE494" s="78"/>
      <c r="CF494" s="80"/>
    </row>
    <row r="495" spans="1:84" ht="15.75" x14ac:dyDescent="0.25">
      <c r="A495" s="99" t="s">
        <v>688</v>
      </c>
      <c r="B495" s="100" t="s">
        <v>697</v>
      </c>
      <c r="C495" s="73"/>
      <c r="D495" s="108" t="s">
        <v>618</v>
      </c>
      <c r="E495" s="150"/>
      <c r="F495" s="124" t="s">
        <v>13</v>
      </c>
      <c r="G495" s="124" t="s">
        <v>13</v>
      </c>
      <c r="H495" s="126" t="s">
        <v>353</v>
      </c>
      <c r="I495" s="136">
        <v>0</v>
      </c>
      <c r="J495" s="125" t="s">
        <v>79</v>
      </c>
      <c r="K495" s="18">
        <v>46447</v>
      </c>
      <c r="L495" s="18">
        <v>46492</v>
      </c>
      <c r="M495" s="76"/>
      <c r="N495" s="77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  <c r="AY495" s="78"/>
      <c r="AZ495" s="78"/>
      <c r="BA495" s="78"/>
      <c r="BB495" s="78"/>
      <c r="BC495" s="78"/>
      <c r="BD495" s="78"/>
      <c r="BE495" s="78"/>
      <c r="BF495" s="78"/>
      <c r="BG495" s="78"/>
      <c r="BH495" s="78"/>
      <c r="BI495" s="78"/>
      <c r="BJ495" s="78"/>
      <c r="BK495" s="78"/>
      <c r="BL495" s="78"/>
      <c r="BM495" s="78"/>
      <c r="BN495" s="92"/>
      <c r="BO495" s="92"/>
      <c r="BP495" s="92"/>
      <c r="BQ495" s="92"/>
      <c r="BR495" s="92"/>
      <c r="BS495" s="78"/>
      <c r="BT495" s="78"/>
      <c r="BU495" s="78"/>
      <c r="BV495" s="78"/>
      <c r="BW495" s="78"/>
      <c r="BX495" s="78"/>
      <c r="BY495" s="78"/>
      <c r="BZ495" s="78"/>
      <c r="CA495" s="78"/>
      <c r="CB495" s="78"/>
      <c r="CC495" s="78"/>
      <c r="CD495" s="78"/>
      <c r="CE495" s="78"/>
      <c r="CF495" s="80"/>
    </row>
    <row r="496" spans="1:84" ht="15.75" x14ac:dyDescent="0.25">
      <c r="A496" s="99" t="s">
        <v>688</v>
      </c>
      <c r="B496" s="100" t="s">
        <v>698</v>
      </c>
      <c r="C496" s="73"/>
      <c r="D496" s="108" t="s">
        <v>620</v>
      </c>
      <c r="E496" s="150"/>
      <c r="F496" s="124" t="s">
        <v>13</v>
      </c>
      <c r="G496" s="124" t="s">
        <v>13</v>
      </c>
      <c r="H496" s="126" t="s">
        <v>353</v>
      </c>
      <c r="I496" s="136">
        <v>0</v>
      </c>
      <c r="J496" s="125" t="s">
        <v>79</v>
      </c>
      <c r="K496" s="18">
        <v>46478</v>
      </c>
      <c r="L496" s="18">
        <v>46492</v>
      </c>
      <c r="M496" s="76"/>
      <c r="N496" s="77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  <c r="AY496" s="78"/>
      <c r="AZ496" s="78"/>
      <c r="BA496" s="78"/>
      <c r="BB496" s="78"/>
      <c r="BC496" s="78"/>
      <c r="BD496" s="78"/>
      <c r="BE496" s="78"/>
      <c r="BF496" s="78"/>
      <c r="BG496" s="78"/>
      <c r="BH496" s="78"/>
      <c r="BI496" s="78"/>
      <c r="BJ496" s="78"/>
      <c r="BK496" s="78"/>
      <c r="BL496" s="78"/>
      <c r="BM496" s="78"/>
      <c r="BN496" s="78"/>
      <c r="BO496" s="78"/>
      <c r="BP496" s="78"/>
      <c r="BQ496" s="92"/>
      <c r="BR496" s="92"/>
      <c r="BS496" s="78"/>
      <c r="BT496" s="78"/>
      <c r="BU496" s="78"/>
      <c r="BV496" s="78"/>
      <c r="BW496" s="78"/>
      <c r="BX496" s="78"/>
      <c r="BY496" s="78"/>
      <c r="BZ496" s="78"/>
      <c r="CA496" s="78"/>
      <c r="CB496" s="78"/>
      <c r="CC496" s="78"/>
      <c r="CD496" s="78"/>
      <c r="CE496" s="78"/>
      <c r="CF496" s="80"/>
    </row>
    <row r="497" spans="1:84" ht="15.75" x14ac:dyDescent="0.25">
      <c r="A497" s="99" t="s">
        <v>688</v>
      </c>
      <c r="B497" s="100" t="s">
        <v>699</v>
      </c>
      <c r="C497" s="73"/>
      <c r="D497" s="108" t="s">
        <v>622</v>
      </c>
      <c r="E497" s="150"/>
      <c r="F497" s="124" t="s">
        <v>13</v>
      </c>
      <c r="G497" s="124" t="s">
        <v>13</v>
      </c>
      <c r="H497" s="126" t="s">
        <v>353</v>
      </c>
      <c r="I497" s="136">
        <v>0</v>
      </c>
      <c r="J497" s="125" t="s">
        <v>79</v>
      </c>
      <c r="K497" s="18">
        <v>46478</v>
      </c>
      <c r="L497" s="18">
        <v>46492</v>
      </c>
      <c r="M497" s="76"/>
      <c r="N497" s="77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78"/>
      <c r="AZ497" s="78"/>
      <c r="BA497" s="78"/>
      <c r="BB497" s="78"/>
      <c r="BC497" s="78"/>
      <c r="BD497" s="78"/>
      <c r="BE497" s="78"/>
      <c r="BF497" s="78"/>
      <c r="BG497" s="78"/>
      <c r="BH497" s="78"/>
      <c r="BI497" s="78"/>
      <c r="BJ497" s="78"/>
      <c r="BK497" s="78"/>
      <c r="BL497" s="78"/>
      <c r="BM497" s="78"/>
      <c r="BN497" s="78"/>
      <c r="BO497" s="78"/>
      <c r="BP497" s="78"/>
      <c r="BQ497" s="92"/>
      <c r="BR497" s="92"/>
      <c r="BS497" s="78"/>
      <c r="BT497" s="78"/>
      <c r="BU497" s="78"/>
      <c r="BV497" s="78"/>
      <c r="BW497" s="78"/>
      <c r="BX497" s="78"/>
      <c r="BY497" s="78"/>
      <c r="BZ497" s="78"/>
      <c r="CA497" s="78"/>
      <c r="CB497" s="78"/>
      <c r="CC497" s="78"/>
      <c r="CD497" s="78"/>
      <c r="CE497" s="78"/>
      <c r="CF497" s="80"/>
    </row>
    <row r="498" spans="1:84" ht="15.75" x14ac:dyDescent="0.25">
      <c r="A498" s="99" t="s">
        <v>688</v>
      </c>
      <c r="B498" s="100" t="s">
        <v>700</v>
      </c>
      <c r="C498" s="73"/>
      <c r="D498" s="108" t="s">
        <v>373</v>
      </c>
      <c r="E498" s="150"/>
      <c r="F498" s="124" t="s">
        <v>13</v>
      </c>
      <c r="G498" s="124" t="s">
        <v>13</v>
      </c>
      <c r="H498" s="126" t="s">
        <v>353</v>
      </c>
      <c r="I498" s="136">
        <v>0</v>
      </c>
      <c r="J498" s="125" t="s">
        <v>79</v>
      </c>
      <c r="K498" s="18">
        <v>46478</v>
      </c>
      <c r="L498" s="18">
        <v>46492</v>
      </c>
      <c r="M498" s="76"/>
      <c r="N498" s="77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  <c r="AY498" s="78"/>
      <c r="AZ498" s="78"/>
      <c r="BA498" s="78"/>
      <c r="BB498" s="78"/>
      <c r="BC498" s="78"/>
      <c r="BD498" s="78"/>
      <c r="BE498" s="78"/>
      <c r="BF498" s="78"/>
      <c r="BG498" s="78"/>
      <c r="BH498" s="78"/>
      <c r="BI498" s="78"/>
      <c r="BJ498" s="78"/>
      <c r="BK498" s="78"/>
      <c r="BL498" s="78"/>
      <c r="BM498" s="78"/>
      <c r="BN498" s="78"/>
      <c r="BO498" s="78"/>
      <c r="BP498" s="78"/>
      <c r="BQ498" s="79"/>
      <c r="BR498" s="79"/>
      <c r="BS498" s="78"/>
      <c r="BT498" s="78"/>
      <c r="BU498" s="78"/>
      <c r="BV498" s="78"/>
      <c r="BW498" s="78"/>
      <c r="BX498" s="78"/>
      <c r="BY498" s="78"/>
      <c r="BZ498" s="78"/>
      <c r="CA498" s="78"/>
      <c r="CB498" s="78"/>
      <c r="CC498" s="78"/>
      <c r="CD498" s="78"/>
      <c r="CE498" s="78"/>
      <c r="CF498" s="80"/>
    </row>
    <row r="499" spans="1:84" ht="15.75" x14ac:dyDescent="0.25">
      <c r="A499" s="99" t="s">
        <v>688</v>
      </c>
      <c r="B499" s="100" t="s">
        <v>701</v>
      </c>
      <c r="C499" s="90"/>
      <c r="D499" s="15" t="s">
        <v>375</v>
      </c>
      <c r="E499" s="150"/>
      <c r="F499" s="124" t="s">
        <v>13</v>
      </c>
      <c r="G499" s="124" t="s">
        <v>13</v>
      </c>
      <c r="H499" s="126" t="s">
        <v>353</v>
      </c>
      <c r="I499" s="75"/>
      <c r="J499" s="125" t="s">
        <v>79</v>
      </c>
      <c r="K499" s="18">
        <v>46492</v>
      </c>
      <c r="L499" s="18">
        <v>46522</v>
      </c>
      <c r="M499" s="76"/>
      <c r="N499" s="77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  <c r="AY499" s="78"/>
      <c r="AZ499" s="78"/>
      <c r="BA499" s="78"/>
      <c r="BB499" s="78"/>
      <c r="BC499" s="78"/>
      <c r="BD499" s="78"/>
      <c r="BE499" s="78"/>
      <c r="BF499" s="78"/>
      <c r="BG499" s="78"/>
      <c r="BH499" s="78"/>
      <c r="BI499" s="78"/>
      <c r="BJ499" s="78"/>
      <c r="BK499" s="78"/>
      <c r="BL499" s="78"/>
      <c r="BM499" s="78"/>
      <c r="BN499" s="78"/>
      <c r="BO499" s="78"/>
      <c r="BP499" s="78"/>
      <c r="BQ499" s="78"/>
      <c r="BR499" s="78"/>
      <c r="BS499" s="93"/>
      <c r="BT499" s="93"/>
      <c r="BU499" s="93"/>
      <c r="BV499" s="93"/>
      <c r="BW499" s="78"/>
      <c r="BX499" s="78"/>
      <c r="BY499" s="78"/>
      <c r="BZ499" s="78"/>
      <c r="CA499" s="78"/>
      <c r="CB499" s="78"/>
      <c r="CC499" s="78"/>
      <c r="CD499" s="78"/>
      <c r="CE499" s="78"/>
      <c r="CF499" s="80"/>
    </row>
    <row r="500" spans="1:84" ht="15.75" x14ac:dyDescent="0.25">
      <c r="A500" s="99" t="s">
        <v>688</v>
      </c>
      <c r="B500" s="100" t="s">
        <v>702</v>
      </c>
      <c r="C500" s="73"/>
      <c r="D500" s="108" t="s">
        <v>626</v>
      </c>
      <c r="E500" s="150"/>
      <c r="F500" s="124" t="s">
        <v>13</v>
      </c>
      <c r="G500" s="124" t="s">
        <v>13</v>
      </c>
      <c r="H500" s="126" t="s">
        <v>353</v>
      </c>
      <c r="I500" s="136">
        <v>0</v>
      </c>
      <c r="J500" s="125" t="s">
        <v>79</v>
      </c>
      <c r="K500" s="18">
        <v>46492</v>
      </c>
      <c r="L500" s="18">
        <v>46522</v>
      </c>
      <c r="M500" s="76"/>
      <c r="N500" s="77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  <c r="AY500" s="78"/>
      <c r="AZ500" s="78"/>
      <c r="BA500" s="78"/>
      <c r="BB500" s="78"/>
      <c r="BC500" s="78"/>
      <c r="BD500" s="78"/>
      <c r="BE500" s="78"/>
      <c r="BF500" s="78"/>
      <c r="BG500" s="78"/>
      <c r="BH500" s="78"/>
      <c r="BI500" s="78"/>
      <c r="BJ500" s="78"/>
      <c r="BK500" s="78"/>
      <c r="BL500" s="78"/>
      <c r="BM500" s="78"/>
      <c r="BN500" s="78"/>
      <c r="BO500" s="78"/>
      <c r="BP500" s="78"/>
      <c r="BQ500" s="78"/>
      <c r="BR500" s="78"/>
      <c r="BS500" s="92"/>
      <c r="BT500" s="92"/>
      <c r="BU500" s="92"/>
      <c r="BV500" s="92"/>
      <c r="BW500" s="78"/>
      <c r="BX500" s="78"/>
      <c r="BY500" s="78"/>
      <c r="BZ500" s="78"/>
      <c r="CA500" s="78"/>
      <c r="CB500" s="78"/>
      <c r="CC500" s="78"/>
      <c r="CD500" s="78"/>
      <c r="CE500" s="78"/>
      <c r="CF500" s="80"/>
    </row>
    <row r="501" spans="1:84" ht="15.75" x14ac:dyDescent="0.25">
      <c r="A501" s="99" t="s">
        <v>688</v>
      </c>
      <c r="B501" s="100" t="s">
        <v>703</v>
      </c>
      <c r="C501" s="73"/>
      <c r="D501" s="108" t="s">
        <v>628</v>
      </c>
      <c r="E501" s="150"/>
      <c r="F501" s="124" t="s">
        <v>13</v>
      </c>
      <c r="G501" s="124" t="s">
        <v>13</v>
      </c>
      <c r="H501" s="126" t="s">
        <v>353</v>
      </c>
      <c r="I501" s="136">
        <v>0</v>
      </c>
      <c r="J501" s="125" t="s">
        <v>79</v>
      </c>
      <c r="K501" s="18">
        <v>46508</v>
      </c>
      <c r="L501" s="18">
        <v>46522</v>
      </c>
      <c r="M501" s="76"/>
      <c r="N501" s="77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  <c r="AY501" s="78"/>
      <c r="AZ501" s="78"/>
      <c r="BA501" s="78"/>
      <c r="BB501" s="78"/>
      <c r="BC501" s="78"/>
      <c r="BD501" s="78"/>
      <c r="BE501" s="78"/>
      <c r="BF501" s="78"/>
      <c r="BG501" s="78"/>
      <c r="BH501" s="78"/>
      <c r="BI501" s="78"/>
      <c r="BJ501" s="78"/>
      <c r="BK501" s="78"/>
      <c r="BL501" s="78"/>
      <c r="BM501" s="78"/>
      <c r="BN501" s="78"/>
      <c r="BO501" s="78"/>
      <c r="BP501" s="78"/>
      <c r="BQ501" s="78"/>
      <c r="BR501" s="78"/>
      <c r="BS501" s="78"/>
      <c r="BT501" s="78"/>
      <c r="BU501" s="92"/>
      <c r="BV501" s="92"/>
      <c r="BW501" s="78"/>
      <c r="BX501" s="78"/>
      <c r="BY501" s="78"/>
      <c r="BZ501" s="78"/>
      <c r="CA501" s="78"/>
      <c r="CB501" s="78"/>
      <c r="CC501" s="78"/>
      <c r="CD501" s="78"/>
      <c r="CE501" s="78"/>
      <c r="CF501" s="80"/>
    </row>
    <row r="502" spans="1:84" ht="15.75" x14ac:dyDescent="0.25">
      <c r="A502" s="99" t="s">
        <v>688</v>
      </c>
      <c r="B502" s="100" t="s">
        <v>704</v>
      </c>
      <c r="C502" s="73"/>
      <c r="D502" s="108" t="s">
        <v>630</v>
      </c>
      <c r="E502" s="150"/>
      <c r="F502" s="124" t="s">
        <v>13</v>
      </c>
      <c r="G502" s="124" t="s">
        <v>13</v>
      </c>
      <c r="H502" s="126" t="s">
        <v>353</v>
      </c>
      <c r="I502" s="136">
        <v>0</v>
      </c>
      <c r="J502" s="125" t="s">
        <v>79</v>
      </c>
      <c r="K502" s="18">
        <v>46508</v>
      </c>
      <c r="L502" s="18">
        <v>46522</v>
      </c>
      <c r="M502" s="76"/>
      <c r="N502" s="77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  <c r="AY502" s="78"/>
      <c r="AZ502" s="78"/>
      <c r="BA502" s="78"/>
      <c r="BB502" s="78"/>
      <c r="BC502" s="78"/>
      <c r="BD502" s="78"/>
      <c r="BE502" s="78"/>
      <c r="BF502" s="78"/>
      <c r="BG502" s="78"/>
      <c r="BH502" s="78"/>
      <c r="BI502" s="78"/>
      <c r="BJ502" s="78"/>
      <c r="BK502" s="78"/>
      <c r="BL502" s="78"/>
      <c r="BM502" s="78"/>
      <c r="BN502" s="78"/>
      <c r="BO502" s="78"/>
      <c r="BP502" s="78"/>
      <c r="BQ502" s="78"/>
      <c r="BR502" s="78"/>
      <c r="BS502" s="78"/>
      <c r="BT502" s="78"/>
      <c r="BU502" s="92"/>
      <c r="BV502" s="92"/>
      <c r="BW502" s="78"/>
      <c r="BX502" s="78"/>
      <c r="BY502" s="78"/>
      <c r="BZ502" s="78"/>
      <c r="CA502" s="78"/>
      <c r="CB502" s="78"/>
      <c r="CC502" s="78"/>
      <c r="CD502" s="78"/>
      <c r="CE502" s="78"/>
      <c r="CF502" s="80"/>
    </row>
    <row r="503" spans="1:84" ht="31.5" x14ac:dyDescent="0.25">
      <c r="A503" s="99" t="s">
        <v>688</v>
      </c>
      <c r="B503" s="100" t="s">
        <v>705</v>
      </c>
      <c r="C503" s="84"/>
      <c r="D503" s="15" t="s">
        <v>385</v>
      </c>
      <c r="E503" s="150"/>
      <c r="F503" s="124" t="s">
        <v>310</v>
      </c>
      <c r="G503" s="124" t="s">
        <v>13</v>
      </c>
      <c r="H503" s="126" t="s">
        <v>353</v>
      </c>
      <c r="I503" s="136">
        <v>0</v>
      </c>
      <c r="J503" s="125" t="s">
        <v>79</v>
      </c>
      <c r="K503" s="18">
        <v>46508</v>
      </c>
      <c r="L503" s="18">
        <v>46522</v>
      </c>
      <c r="M503" s="76"/>
      <c r="N503" s="77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78"/>
      <c r="AN503" s="78"/>
      <c r="AO503" s="78"/>
      <c r="AP503" s="78"/>
      <c r="AQ503" s="78"/>
      <c r="AR503" s="78"/>
      <c r="AS503" s="86"/>
      <c r="AT503" s="86"/>
      <c r="AU503" s="86"/>
      <c r="AV503" s="86"/>
      <c r="AW503" s="86"/>
      <c r="AX503" s="86"/>
      <c r="AY503" s="86"/>
      <c r="AZ503" s="86"/>
      <c r="BA503" s="86"/>
      <c r="BB503" s="86"/>
      <c r="BC503" s="86"/>
      <c r="BD503" s="86"/>
      <c r="BE503" s="86"/>
      <c r="BF503" s="86"/>
      <c r="BG503" s="86"/>
      <c r="BH503" s="86"/>
      <c r="BI503" s="86"/>
      <c r="BJ503" s="86"/>
      <c r="BK503" s="86"/>
      <c r="BL503" s="86"/>
      <c r="BM503" s="86"/>
      <c r="BN503" s="86"/>
      <c r="BO503" s="86"/>
      <c r="BP503" s="86"/>
      <c r="BQ503" s="86"/>
      <c r="BR503" s="86"/>
      <c r="BS503" s="86"/>
      <c r="BT503" s="86"/>
      <c r="BU503" s="87"/>
      <c r="BV503" s="87"/>
      <c r="BW503" s="86"/>
      <c r="BX503" s="86"/>
      <c r="BY503" s="86"/>
      <c r="BZ503" s="86"/>
      <c r="CA503" s="86"/>
      <c r="CB503" s="86"/>
      <c r="CC503" s="86"/>
      <c r="CD503" s="86"/>
      <c r="CE503" s="86"/>
      <c r="CF503" s="88"/>
    </row>
    <row r="504" spans="1:84" ht="15.75" x14ac:dyDescent="0.25">
      <c r="A504" s="99" t="s">
        <v>688</v>
      </c>
      <c r="B504" s="100" t="s">
        <v>706</v>
      </c>
      <c r="C504" s="84"/>
      <c r="D504" s="15" t="s">
        <v>387</v>
      </c>
      <c r="E504" s="150"/>
      <c r="F504" s="124" t="s">
        <v>274</v>
      </c>
      <c r="G504" s="124" t="s">
        <v>13</v>
      </c>
      <c r="H504" s="126" t="s">
        <v>353</v>
      </c>
      <c r="I504" s="136">
        <v>0</v>
      </c>
      <c r="J504" s="125" t="s">
        <v>79</v>
      </c>
      <c r="K504" s="18">
        <v>46508</v>
      </c>
      <c r="L504" s="18">
        <v>46522</v>
      </c>
      <c r="M504" s="76"/>
      <c r="N504" s="77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  <c r="AY504" s="78"/>
      <c r="AZ504" s="78"/>
      <c r="BA504" s="78"/>
      <c r="BB504" s="78"/>
      <c r="BC504" s="78"/>
      <c r="BD504" s="78"/>
      <c r="BE504" s="78"/>
      <c r="BF504" s="78"/>
      <c r="BG504" s="78"/>
      <c r="BH504" s="78"/>
      <c r="BI504" s="78"/>
      <c r="BJ504" s="78"/>
      <c r="BK504" s="78"/>
      <c r="BL504" s="78"/>
      <c r="BM504" s="78"/>
      <c r="BN504" s="78"/>
      <c r="BO504" s="78"/>
      <c r="BP504" s="78"/>
      <c r="BQ504" s="78"/>
      <c r="BR504" s="78"/>
      <c r="BS504" s="78"/>
      <c r="BT504" s="78"/>
      <c r="BU504" s="87"/>
      <c r="BV504" s="87"/>
      <c r="BW504" s="86"/>
      <c r="BX504" s="86"/>
      <c r="BY504" s="86"/>
      <c r="BZ504" s="86"/>
      <c r="CA504" s="86"/>
      <c r="CB504" s="86"/>
      <c r="CC504" s="86"/>
      <c r="CD504" s="86"/>
      <c r="CE504" s="86"/>
      <c r="CF504" s="88"/>
    </row>
    <row r="505" spans="1:84" ht="47.25" x14ac:dyDescent="0.25">
      <c r="A505" s="99" t="s">
        <v>688</v>
      </c>
      <c r="B505" s="100" t="s">
        <v>707</v>
      </c>
      <c r="C505" s="84"/>
      <c r="D505" s="43" t="s">
        <v>708</v>
      </c>
      <c r="E505" s="150"/>
      <c r="F505" s="124" t="s">
        <v>13</v>
      </c>
      <c r="G505" s="124" t="s">
        <v>709</v>
      </c>
      <c r="H505" s="126" t="s">
        <v>353</v>
      </c>
      <c r="I505" s="136">
        <v>0</v>
      </c>
      <c r="J505" s="125" t="s">
        <v>79</v>
      </c>
      <c r="K505" s="18">
        <v>46508</v>
      </c>
      <c r="L505" s="18">
        <v>46522</v>
      </c>
      <c r="M505" s="76"/>
      <c r="N505" s="77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  <c r="AQ505" s="86"/>
      <c r="AR505" s="78"/>
      <c r="AS505" s="78"/>
      <c r="AT505" s="78"/>
      <c r="AU505" s="78"/>
      <c r="AV505" s="78"/>
      <c r="AW505" s="78"/>
      <c r="AX505" s="78"/>
      <c r="AY505" s="78"/>
      <c r="AZ505" s="78"/>
      <c r="BA505" s="78"/>
      <c r="BB505" s="78"/>
      <c r="BC505" s="78"/>
      <c r="BD505" s="78"/>
      <c r="BE505" s="78"/>
      <c r="BF505" s="78"/>
      <c r="BG505" s="78"/>
      <c r="BH505" s="78"/>
      <c r="BI505" s="78"/>
      <c r="BJ505" s="78"/>
      <c r="BK505" s="78"/>
      <c r="BL505" s="78"/>
      <c r="BM505" s="78"/>
      <c r="BN505" s="78"/>
      <c r="BO505" s="78"/>
      <c r="BP505" s="78"/>
      <c r="BQ505" s="78"/>
      <c r="BR505" s="78"/>
      <c r="BS505" s="78"/>
      <c r="BT505" s="78"/>
      <c r="BU505" s="78"/>
      <c r="BV505" s="89"/>
      <c r="BW505" s="86"/>
      <c r="BX505" s="86"/>
      <c r="BY505" s="86"/>
      <c r="BZ505" s="86"/>
      <c r="CA505" s="86"/>
      <c r="CB505" s="86"/>
      <c r="CC505" s="86"/>
      <c r="CD505" s="86"/>
      <c r="CE505" s="86"/>
      <c r="CF505" s="88"/>
    </row>
    <row r="506" spans="1:84" ht="15.75" x14ac:dyDescent="0.25">
      <c r="A506" s="99" t="s">
        <v>710</v>
      </c>
      <c r="B506" s="13">
        <v>11</v>
      </c>
      <c r="C506" s="101"/>
      <c r="D506" s="37" t="s">
        <v>711</v>
      </c>
      <c r="E506" s="150"/>
      <c r="F506" s="124" t="s">
        <v>13</v>
      </c>
      <c r="G506" s="124" t="s">
        <v>13</v>
      </c>
      <c r="H506" s="129" t="s">
        <v>353</v>
      </c>
      <c r="I506" s="105"/>
      <c r="J506" s="124" t="s">
        <v>79</v>
      </c>
      <c r="K506" s="18">
        <v>46249</v>
      </c>
      <c r="L506" s="18">
        <v>46522</v>
      </c>
      <c r="M506" s="76"/>
      <c r="N506" s="77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104"/>
      <c r="AN506" s="104"/>
      <c r="AO506" s="104"/>
      <c r="AP506" s="104"/>
      <c r="AQ506" s="104"/>
      <c r="AR506" s="104"/>
      <c r="AS506" s="104"/>
      <c r="AT506" s="104"/>
      <c r="AU506" s="104"/>
      <c r="AV506" s="104"/>
      <c r="AW506" s="104"/>
      <c r="AX506" s="104"/>
      <c r="AY506" s="104"/>
      <c r="AZ506" s="104"/>
      <c r="BA506" s="104"/>
      <c r="BB506" s="104"/>
      <c r="BC506" s="104"/>
      <c r="BD506" s="104"/>
      <c r="BE506" s="104"/>
      <c r="BF506" s="104"/>
      <c r="BG506" s="104"/>
      <c r="BH506" s="104"/>
      <c r="BI506" s="104"/>
      <c r="BJ506" s="104"/>
      <c r="BK506" s="104"/>
      <c r="BL506" s="104"/>
      <c r="BM506" s="104"/>
      <c r="BN506" s="104"/>
      <c r="BO506" s="104"/>
      <c r="BP506" s="104"/>
      <c r="BQ506" s="104"/>
      <c r="BR506" s="104"/>
      <c r="BS506" s="104"/>
      <c r="BT506" s="104"/>
      <c r="BU506" s="104"/>
      <c r="BV506" s="104"/>
      <c r="BW506" s="78"/>
      <c r="BX506" s="78"/>
      <c r="BY506" s="78"/>
      <c r="BZ506" s="78"/>
      <c r="CA506" s="78"/>
      <c r="CB506" s="78"/>
      <c r="CC506" s="78"/>
      <c r="CD506" s="78"/>
      <c r="CE506" s="78"/>
      <c r="CF506" s="80"/>
    </row>
    <row r="507" spans="1:84" ht="15.75" x14ac:dyDescent="0.25">
      <c r="A507" s="99" t="s">
        <v>710</v>
      </c>
      <c r="B507" s="100" t="s">
        <v>712</v>
      </c>
      <c r="C507" s="90"/>
      <c r="D507" s="15" t="s">
        <v>340</v>
      </c>
      <c r="E507" s="150"/>
      <c r="F507" s="124" t="s">
        <v>13</v>
      </c>
      <c r="G507" s="124" t="s">
        <v>13</v>
      </c>
      <c r="H507" s="126" t="s">
        <v>353</v>
      </c>
      <c r="I507" s="75"/>
      <c r="J507" s="125" t="s">
        <v>79</v>
      </c>
      <c r="K507" s="18">
        <v>46296</v>
      </c>
      <c r="L507" s="18">
        <v>46433</v>
      </c>
      <c r="M507" s="76"/>
      <c r="N507" s="77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86"/>
      <c r="AN507" s="86"/>
      <c r="AO507" s="86"/>
      <c r="AP507" s="86"/>
      <c r="AQ507" s="86"/>
      <c r="AR507" s="86"/>
      <c r="AS507" s="93"/>
      <c r="AT507" s="93"/>
      <c r="AU507" s="93"/>
      <c r="AV507" s="93"/>
      <c r="AW507" s="93"/>
      <c r="AX507" s="93"/>
      <c r="AY507" s="93"/>
      <c r="AZ507" s="93"/>
      <c r="BA507" s="93"/>
      <c r="BB507" s="93"/>
      <c r="BC507" s="93"/>
      <c r="BD507" s="93"/>
      <c r="BE507" s="93"/>
      <c r="BF507" s="93"/>
      <c r="BG507" s="93"/>
      <c r="BH507" s="93"/>
      <c r="BI507" s="93"/>
      <c r="BJ507" s="78"/>
      <c r="BK507" s="78"/>
      <c r="BL507" s="78"/>
      <c r="BM507" s="78"/>
      <c r="BN507" s="78"/>
      <c r="BO507" s="78"/>
      <c r="BP507" s="78"/>
      <c r="BQ507" s="78"/>
      <c r="BR507" s="78"/>
      <c r="BS507" s="78"/>
      <c r="BT507" s="78"/>
      <c r="BU507" s="78"/>
      <c r="BV507" s="78"/>
      <c r="BW507" s="78"/>
      <c r="BX507" s="78"/>
      <c r="BY507" s="78"/>
      <c r="BZ507" s="78"/>
      <c r="CA507" s="78"/>
      <c r="CB507" s="78"/>
      <c r="CC507" s="78"/>
      <c r="CD507" s="78"/>
      <c r="CE507" s="78"/>
      <c r="CF507" s="80"/>
    </row>
    <row r="508" spans="1:84" ht="15.75" x14ac:dyDescent="0.25">
      <c r="A508" s="99" t="s">
        <v>710</v>
      </c>
      <c r="B508" s="100" t="s">
        <v>713</v>
      </c>
      <c r="C508" s="73"/>
      <c r="D508" s="108" t="s">
        <v>714</v>
      </c>
      <c r="E508" s="150"/>
      <c r="F508" s="124" t="s">
        <v>13</v>
      </c>
      <c r="G508" s="124" t="s">
        <v>13</v>
      </c>
      <c r="H508" s="126" t="s">
        <v>353</v>
      </c>
      <c r="I508" s="136">
        <v>0</v>
      </c>
      <c r="J508" s="125" t="s">
        <v>79</v>
      </c>
      <c r="K508" s="18">
        <v>46296</v>
      </c>
      <c r="L508" s="18">
        <v>46433</v>
      </c>
      <c r="M508" s="76"/>
      <c r="N508" s="77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86"/>
      <c r="AN508" s="86"/>
      <c r="AO508" s="86"/>
      <c r="AP508" s="86"/>
      <c r="AQ508" s="86"/>
      <c r="AR508" s="86"/>
      <c r="AS508" s="92"/>
      <c r="AT508" s="92"/>
      <c r="AU508" s="92"/>
      <c r="AV508" s="92"/>
      <c r="AW508" s="92"/>
      <c r="AX508" s="92"/>
      <c r="AY508" s="92"/>
      <c r="AZ508" s="92"/>
      <c r="BA508" s="92"/>
      <c r="BB508" s="92"/>
      <c r="BC508" s="92"/>
      <c r="BD508" s="92"/>
      <c r="BE508" s="92"/>
      <c r="BF508" s="92"/>
      <c r="BG508" s="92"/>
      <c r="BH508" s="92"/>
      <c r="BI508" s="92"/>
      <c r="BJ508" s="78"/>
      <c r="BK508" s="78"/>
      <c r="BL508" s="78"/>
      <c r="BM508" s="78"/>
      <c r="BN508" s="78"/>
      <c r="BO508" s="78"/>
      <c r="BP508" s="78"/>
      <c r="BQ508" s="78"/>
      <c r="BR508" s="78"/>
      <c r="BS508" s="78"/>
      <c r="BT508" s="78"/>
      <c r="BU508" s="78"/>
      <c r="BV508" s="78"/>
      <c r="BW508" s="78"/>
      <c r="BX508" s="78"/>
      <c r="BY508" s="78"/>
      <c r="BZ508" s="78"/>
      <c r="CA508" s="78"/>
      <c r="CB508" s="78"/>
      <c r="CC508" s="78"/>
      <c r="CD508" s="78"/>
      <c r="CE508" s="78"/>
      <c r="CF508" s="80"/>
    </row>
    <row r="509" spans="1:84" ht="15.75" x14ac:dyDescent="0.25">
      <c r="A509" s="99" t="s">
        <v>710</v>
      </c>
      <c r="B509" s="100" t="s">
        <v>715</v>
      </c>
      <c r="C509" s="73"/>
      <c r="D509" s="108" t="s">
        <v>716</v>
      </c>
      <c r="E509" s="150"/>
      <c r="F509" s="124" t="s">
        <v>13</v>
      </c>
      <c r="G509" s="124" t="s">
        <v>13</v>
      </c>
      <c r="H509" s="126" t="s">
        <v>353</v>
      </c>
      <c r="I509" s="136">
        <v>0</v>
      </c>
      <c r="J509" s="125" t="s">
        <v>79</v>
      </c>
      <c r="K509" s="18">
        <v>46296</v>
      </c>
      <c r="L509" s="18">
        <v>46402</v>
      </c>
      <c r="M509" s="76"/>
      <c r="N509" s="77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86"/>
      <c r="AN509" s="86"/>
      <c r="AO509" s="86"/>
      <c r="AP509" s="86"/>
      <c r="AQ509" s="86"/>
      <c r="AR509" s="86"/>
      <c r="AS509" s="92"/>
      <c r="AT509" s="92"/>
      <c r="AU509" s="92"/>
      <c r="AV509" s="92"/>
      <c r="AW509" s="92"/>
      <c r="AX509" s="92"/>
      <c r="AY509" s="92"/>
      <c r="AZ509" s="92"/>
      <c r="BA509" s="92"/>
      <c r="BB509" s="92"/>
      <c r="BC509" s="92"/>
      <c r="BD509" s="92"/>
      <c r="BE509" s="92"/>
      <c r="BF509" s="78"/>
      <c r="BG509" s="78"/>
      <c r="BH509" s="78"/>
      <c r="BI509" s="78"/>
      <c r="BJ509" s="78"/>
      <c r="BK509" s="78"/>
      <c r="BL509" s="78"/>
      <c r="BM509" s="78"/>
      <c r="BN509" s="78"/>
      <c r="BO509" s="78"/>
      <c r="BP509" s="78"/>
      <c r="BQ509" s="78"/>
      <c r="BR509" s="78"/>
      <c r="BS509" s="78"/>
      <c r="BT509" s="78"/>
      <c r="BU509" s="78"/>
      <c r="BV509" s="78"/>
      <c r="BW509" s="78"/>
      <c r="BX509" s="78"/>
      <c r="BY509" s="78"/>
      <c r="BZ509" s="78"/>
      <c r="CA509" s="78"/>
      <c r="CB509" s="78"/>
      <c r="CC509" s="78"/>
      <c r="CD509" s="78"/>
      <c r="CE509" s="78"/>
      <c r="CF509" s="80"/>
    </row>
    <row r="510" spans="1:84" ht="15.75" x14ac:dyDescent="0.25">
      <c r="A510" s="99" t="s">
        <v>710</v>
      </c>
      <c r="B510" s="100" t="s">
        <v>717</v>
      </c>
      <c r="C510" s="73"/>
      <c r="D510" s="108" t="s">
        <v>718</v>
      </c>
      <c r="E510" s="150"/>
      <c r="F510" s="124" t="s">
        <v>13</v>
      </c>
      <c r="G510" s="124" t="s">
        <v>13</v>
      </c>
      <c r="H510" s="126" t="s">
        <v>353</v>
      </c>
      <c r="I510" s="136">
        <v>0</v>
      </c>
      <c r="J510" s="125" t="s">
        <v>79</v>
      </c>
      <c r="K510" s="18">
        <v>46296</v>
      </c>
      <c r="L510" s="18">
        <v>46371</v>
      </c>
      <c r="M510" s="76"/>
      <c r="N510" s="77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92"/>
      <c r="AT510" s="92"/>
      <c r="AU510" s="92"/>
      <c r="AV510" s="92"/>
      <c r="AW510" s="92"/>
      <c r="AX510" s="92"/>
      <c r="AY510" s="92"/>
      <c r="AZ510" s="92"/>
      <c r="BA510" s="92"/>
      <c r="BB510" s="92"/>
      <c r="BC510" s="78"/>
      <c r="BD510" s="78"/>
      <c r="BE510" s="78"/>
      <c r="BF510" s="78"/>
      <c r="BG510" s="78"/>
      <c r="BH510" s="78"/>
      <c r="BI510" s="78"/>
      <c r="BJ510" s="78"/>
      <c r="BK510" s="78"/>
      <c r="BL510" s="78"/>
      <c r="BM510" s="78"/>
      <c r="BN510" s="78"/>
      <c r="BO510" s="78"/>
      <c r="BP510" s="78"/>
      <c r="BQ510" s="78"/>
      <c r="BR510" s="78"/>
      <c r="BS510" s="78"/>
      <c r="BT510" s="78"/>
      <c r="BU510" s="78"/>
      <c r="BV510" s="78"/>
      <c r="BW510" s="78"/>
      <c r="BX510" s="78"/>
      <c r="BY510" s="78"/>
      <c r="BZ510" s="78"/>
      <c r="CA510" s="78"/>
      <c r="CB510" s="78"/>
      <c r="CC510" s="78"/>
      <c r="CD510" s="78"/>
      <c r="CE510" s="78"/>
      <c r="CF510" s="80"/>
    </row>
    <row r="511" spans="1:84" ht="15.75" x14ac:dyDescent="0.25">
      <c r="A511" s="99" t="s">
        <v>710</v>
      </c>
      <c r="B511" s="100" t="s">
        <v>719</v>
      </c>
      <c r="C511" s="73"/>
      <c r="D511" s="108" t="s">
        <v>720</v>
      </c>
      <c r="E511" s="150"/>
      <c r="F511" s="124" t="s">
        <v>13</v>
      </c>
      <c r="G511" s="124" t="s">
        <v>13</v>
      </c>
      <c r="H511" s="126" t="s">
        <v>353</v>
      </c>
      <c r="I511" s="136">
        <v>0</v>
      </c>
      <c r="J511" s="125" t="s">
        <v>79</v>
      </c>
      <c r="K511" s="18">
        <v>46296</v>
      </c>
      <c r="L511" s="18">
        <v>46402</v>
      </c>
      <c r="M511" s="76"/>
      <c r="N511" s="77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86"/>
      <c r="AN511" s="86"/>
      <c r="AO511" s="86"/>
      <c r="AP511" s="86"/>
      <c r="AQ511" s="86"/>
      <c r="AR511" s="86"/>
      <c r="AS511" s="92"/>
      <c r="AT511" s="92"/>
      <c r="AU511" s="92"/>
      <c r="AV511" s="92"/>
      <c r="AW511" s="92"/>
      <c r="AX511" s="92"/>
      <c r="AY511" s="92"/>
      <c r="AZ511" s="92"/>
      <c r="BA511" s="92"/>
      <c r="BB511" s="92"/>
      <c r="BC511" s="92"/>
      <c r="BD511" s="92"/>
      <c r="BE511" s="92"/>
      <c r="BF511" s="78"/>
      <c r="BG511" s="78"/>
      <c r="BH511" s="78"/>
      <c r="BI511" s="78"/>
      <c r="BJ511" s="78"/>
      <c r="BK511" s="78"/>
      <c r="BL511" s="78"/>
      <c r="BM511" s="78"/>
      <c r="BN511" s="78"/>
      <c r="BO511" s="78"/>
      <c r="BP511" s="78"/>
      <c r="BQ511" s="78"/>
      <c r="BR511" s="78"/>
      <c r="BS511" s="78"/>
      <c r="BT511" s="78"/>
      <c r="BU511" s="78"/>
      <c r="BV511" s="78"/>
      <c r="BW511" s="78"/>
      <c r="BX511" s="78"/>
      <c r="BY511" s="78"/>
      <c r="BZ511" s="78"/>
      <c r="CA511" s="78"/>
      <c r="CB511" s="78"/>
      <c r="CC511" s="78"/>
      <c r="CD511" s="78"/>
      <c r="CE511" s="78"/>
      <c r="CF511" s="80"/>
    </row>
    <row r="512" spans="1:84" ht="15.75" x14ac:dyDescent="0.25">
      <c r="A512" s="99" t="s">
        <v>710</v>
      </c>
      <c r="B512" s="100" t="s">
        <v>721</v>
      </c>
      <c r="C512" s="90"/>
      <c r="D512" s="15" t="s">
        <v>352</v>
      </c>
      <c r="E512" s="150"/>
      <c r="F512" s="124" t="s">
        <v>13</v>
      </c>
      <c r="G512" s="124" t="s">
        <v>13</v>
      </c>
      <c r="H512" s="126" t="s">
        <v>353</v>
      </c>
      <c r="I512" s="75"/>
      <c r="J512" s="125" t="s">
        <v>79</v>
      </c>
      <c r="K512" s="18">
        <v>46419</v>
      </c>
      <c r="L512" s="18">
        <v>46461</v>
      </c>
      <c r="M512" s="76"/>
      <c r="N512" s="77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86"/>
      <c r="AN512" s="86"/>
      <c r="AO512" s="86"/>
      <c r="AP512" s="86"/>
      <c r="AQ512" s="86"/>
      <c r="AR512" s="86"/>
      <c r="AS512" s="78"/>
      <c r="AT512" s="78"/>
      <c r="AU512" s="78"/>
      <c r="AV512" s="78"/>
      <c r="AW512" s="78"/>
      <c r="AX512" s="78"/>
      <c r="AY512" s="78"/>
      <c r="AZ512" s="78"/>
      <c r="BA512" s="78"/>
      <c r="BB512" s="78"/>
      <c r="BC512" s="78"/>
      <c r="BD512" s="78"/>
      <c r="BE512" s="78"/>
      <c r="BF512" s="78"/>
      <c r="BG512" s="78"/>
      <c r="BH512" s="78"/>
      <c r="BI512" s="78"/>
      <c r="BJ512" s="93"/>
      <c r="BK512" s="93"/>
      <c r="BL512" s="93"/>
      <c r="BM512" s="93"/>
      <c r="BN512" s="78"/>
      <c r="BO512" s="78"/>
      <c r="BP512" s="78"/>
      <c r="BQ512" s="78"/>
      <c r="BR512" s="78"/>
      <c r="BS512" s="78"/>
      <c r="BT512" s="78"/>
      <c r="BU512" s="78"/>
      <c r="BV512" s="78"/>
      <c r="BW512" s="78"/>
      <c r="BX512" s="78"/>
      <c r="BY512" s="78"/>
      <c r="BZ512" s="78"/>
      <c r="CA512" s="78"/>
      <c r="CB512" s="78"/>
      <c r="CC512" s="78"/>
      <c r="CD512" s="78"/>
      <c r="CE512" s="78"/>
      <c r="CF512" s="80"/>
    </row>
    <row r="513" spans="1:84" ht="15.75" x14ac:dyDescent="0.25">
      <c r="A513" s="99" t="s">
        <v>710</v>
      </c>
      <c r="B513" s="100" t="s">
        <v>722</v>
      </c>
      <c r="C513" s="73"/>
      <c r="D513" s="108" t="s">
        <v>612</v>
      </c>
      <c r="E513" s="150"/>
      <c r="F513" s="124" t="s">
        <v>13</v>
      </c>
      <c r="G513" s="124" t="s">
        <v>13</v>
      </c>
      <c r="H513" s="126" t="s">
        <v>353</v>
      </c>
      <c r="I513" s="136">
        <v>0</v>
      </c>
      <c r="J513" s="125" t="s">
        <v>79</v>
      </c>
      <c r="K513" s="18">
        <v>46419</v>
      </c>
      <c r="L513" s="18">
        <v>46461</v>
      </c>
      <c r="M513" s="76"/>
      <c r="N513" s="77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86"/>
      <c r="AN513" s="86"/>
      <c r="AO513" s="86"/>
      <c r="AP513" s="86"/>
      <c r="AQ513" s="86"/>
      <c r="AR513" s="86"/>
      <c r="AS513" s="78"/>
      <c r="AT513" s="78"/>
      <c r="AU513" s="78"/>
      <c r="AV513" s="78"/>
      <c r="AW513" s="78"/>
      <c r="AX513" s="78"/>
      <c r="AY513" s="78"/>
      <c r="AZ513" s="78"/>
      <c r="BA513" s="78"/>
      <c r="BB513" s="78"/>
      <c r="BC513" s="78"/>
      <c r="BD513" s="78"/>
      <c r="BE513" s="78"/>
      <c r="BF513" s="78"/>
      <c r="BG513" s="78"/>
      <c r="BH513" s="78"/>
      <c r="BI513" s="78"/>
      <c r="BJ513" s="92"/>
      <c r="BK513" s="92"/>
      <c r="BL513" s="92"/>
      <c r="BM513" s="92"/>
      <c r="BN513" s="78"/>
      <c r="BO513" s="78"/>
      <c r="BP513" s="78"/>
      <c r="BQ513" s="78"/>
      <c r="BR513" s="78"/>
      <c r="BS513" s="78"/>
      <c r="BT513" s="78"/>
      <c r="BU513" s="78"/>
      <c r="BV513" s="78"/>
      <c r="BW513" s="78"/>
      <c r="BX513" s="78"/>
      <c r="BY513" s="78"/>
      <c r="BZ513" s="78"/>
      <c r="CA513" s="78"/>
      <c r="CB513" s="78"/>
      <c r="CC513" s="78"/>
      <c r="CD513" s="78"/>
      <c r="CE513" s="78"/>
      <c r="CF513" s="80"/>
    </row>
    <row r="514" spans="1:84" ht="15.75" x14ac:dyDescent="0.25">
      <c r="A514" s="99" t="s">
        <v>710</v>
      </c>
      <c r="B514" s="100" t="s">
        <v>723</v>
      </c>
      <c r="C514" s="73"/>
      <c r="D514" s="108" t="s">
        <v>614</v>
      </c>
      <c r="E514" s="150"/>
      <c r="F514" s="124" t="s">
        <v>13</v>
      </c>
      <c r="G514" s="124" t="s">
        <v>13</v>
      </c>
      <c r="H514" s="126" t="s">
        <v>353</v>
      </c>
      <c r="I514" s="136">
        <v>0</v>
      </c>
      <c r="J514" s="125" t="s">
        <v>79</v>
      </c>
      <c r="K514" s="18">
        <v>46419</v>
      </c>
      <c r="L514" s="18">
        <v>46446</v>
      </c>
      <c r="M514" s="76"/>
      <c r="N514" s="77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  <c r="AY514" s="78"/>
      <c r="AZ514" s="78"/>
      <c r="BA514" s="78"/>
      <c r="BB514" s="78"/>
      <c r="BC514" s="78"/>
      <c r="BD514" s="78"/>
      <c r="BE514" s="78"/>
      <c r="BF514" s="78"/>
      <c r="BG514" s="78"/>
      <c r="BH514" s="78"/>
      <c r="BI514" s="78"/>
      <c r="BJ514" s="92"/>
      <c r="BK514" s="92"/>
      <c r="BL514" s="78"/>
      <c r="BM514" s="78"/>
      <c r="BN514" s="78"/>
      <c r="BO514" s="78"/>
      <c r="BP514" s="78"/>
      <c r="BQ514" s="78"/>
      <c r="BR514" s="78"/>
      <c r="BS514" s="78"/>
      <c r="BT514" s="78"/>
      <c r="BU514" s="78"/>
      <c r="BV514" s="78"/>
      <c r="BW514" s="78"/>
      <c r="BX514" s="78"/>
      <c r="BY514" s="78"/>
      <c r="BZ514" s="78"/>
      <c r="CA514" s="78"/>
      <c r="CB514" s="78"/>
      <c r="CC514" s="78"/>
      <c r="CD514" s="78"/>
      <c r="CE514" s="78"/>
      <c r="CF514" s="80"/>
    </row>
    <row r="515" spans="1:84" ht="15.75" x14ac:dyDescent="0.25">
      <c r="A515" s="99" t="s">
        <v>710</v>
      </c>
      <c r="B515" s="100" t="s">
        <v>724</v>
      </c>
      <c r="C515" s="73"/>
      <c r="D515" s="108" t="s">
        <v>362</v>
      </c>
      <c r="E515" s="150"/>
      <c r="F515" s="124" t="s">
        <v>13</v>
      </c>
      <c r="G515" s="124" t="s">
        <v>13</v>
      </c>
      <c r="H515" s="126" t="s">
        <v>353</v>
      </c>
      <c r="I515" s="136">
        <v>0</v>
      </c>
      <c r="J515" s="125" t="s">
        <v>79</v>
      </c>
      <c r="K515" s="18">
        <v>46433</v>
      </c>
      <c r="L515" s="18">
        <v>46461</v>
      </c>
      <c r="M515" s="76"/>
      <c r="N515" s="77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86"/>
      <c r="AN515" s="86"/>
      <c r="AO515" s="86"/>
      <c r="AP515" s="86"/>
      <c r="AQ515" s="86"/>
      <c r="AR515" s="86"/>
      <c r="AS515" s="78"/>
      <c r="AT515" s="78"/>
      <c r="AU515" s="78"/>
      <c r="AV515" s="78"/>
      <c r="AW515" s="78"/>
      <c r="AX515" s="78"/>
      <c r="AY515" s="78"/>
      <c r="AZ515" s="78"/>
      <c r="BA515" s="78"/>
      <c r="BB515" s="78"/>
      <c r="BC515" s="78"/>
      <c r="BD515" s="78"/>
      <c r="BE515" s="78"/>
      <c r="BF515" s="78"/>
      <c r="BG515" s="78"/>
      <c r="BH515" s="78"/>
      <c r="BI515" s="78"/>
      <c r="BJ515" s="78"/>
      <c r="BK515" s="78"/>
      <c r="BL515" s="79"/>
      <c r="BM515" s="79"/>
      <c r="BN515" s="78"/>
      <c r="BO515" s="78"/>
      <c r="BP515" s="78"/>
      <c r="BQ515" s="78"/>
      <c r="BR515" s="78"/>
      <c r="BS515" s="78"/>
      <c r="BT515" s="78"/>
      <c r="BU515" s="78"/>
      <c r="BV515" s="78"/>
      <c r="BW515" s="78"/>
      <c r="BX515" s="78"/>
      <c r="BY515" s="78"/>
      <c r="BZ515" s="78"/>
      <c r="CA515" s="78"/>
      <c r="CB515" s="78"/>
      <c r="CC515" s="78"/>
      <c r="CD515" s="78"/>
      <c r="CE515" s="78"/>
      <c r="CF515" s="80"/>
    </row>
    <row r="516" spans="1:84" ht="15.75" x14ac:dyDescent="0.25">
      <c r="A516" s="99" t="s">
        <v>710</v>
      </c>
      <c r="B516" s="100" t="s">
        <v>725</v>
      </c>
      <c r="C516" s="90"/>
      <c r="D516" s="15" t="s">
        <v>364</v>
      </c>
      <c r="E516" s="150"/>
      <c r="F516" s="124" t="s">
        <v>13</v>
      </c>
      <c r="G516" s="124" t="s">
        <v>13</v>
      </c>
      <c r="H516" s="126" t="s">
        <v>353</v>
      </c>
      <c r="I516" s="75"/>
      <c r="J516" s="125" t="s">
        <v>79</v>
      </c>
      <c r="K516" s="18">
        <v>46447</v>
      </c>
      <c r="L516" s="18">
        <v>46492</v>
      </c>
      <c r="M516" s="76"/>
      <c r="N516" s="77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86"/>
      <c r="AN516" s="86"/>
      <c r="AO516" s="86"/>
      <c r="AP516" s="86"/>
      <c r="AQ516" s="86"/>
      <c r="AR516" s="86"/>
      <c r="AS516" s="78"/>
      <c r="AT516" s="78"/>
      <c r="AU516" s="78"/>
      <c r="AV516" s="78"/>
      <c r="AW516" s="78"/>
      <c r="AX516" s="78"/>
      <c r="AY516" s="78"/>
      <c r="AZ516" s="78"/>
      <c r="BA516" s="78"/>
      <c r="BB516" s="78"/>
      <c r="BC516" s="78"/>
      <c r="BD516" s="78"/>
      <c r="BE516" s="78"/>
      <c r="BF516" s="78"/>
      <c r="BG516" s="78"/>
      <c r="BH516" s="78"/>
      <c r="BI516" s="78"/>
      <c r="BJ516" s="78"/>
      <c r="BK516" s="78"/>
      <c r="BL516" s="78"/>
      <c r="BM516" s="78"/>
      <c r="BN516" s="93"/>
      <c r="BO516" s="93"/>
      <c r="BP516" s="93"/>
      <c r="BQ516" s="93"/>
      <c r="BR516" s="93"/>
      <c r="BS516" s="78"/>
      <c r="BT516" s="78"/>
      <c r="BU516" s="78"/>
      <c r="BV516" s="78"/>
      <c r="BW516" s="78"/>
      <c r="BX516" s="78"/>
      <c r="BY516" s="78"/>
      <c r="BZ516" s="78"/>
      <c r="CA516" s="78"/>
      <c r="CB516" s="78"/>
      <c r="CC516" s="78"/>
      <c r="CD516" s="78"/>
      <c r="CE516" s="78"/>
      <c r="CF516" s="80"/>
    </row>
    <row r="517" spans="1:84" ht="15.75" x14ac:dyDescent="0.25">
      <c r="A517" s="99" t="s">
        <v>710</v>
      </c>
      <c r="B517" s="100" t="s">
        <v>726</v>
      </c>
      <c r="C517" s="73"/>
      <c r="D517" s="108" t="s">
        <v>618</v>
      </c>
      <c r="E517" s="150"/>
      <c r="F517" s="124" t="s">
        <v>13</v>
      </c>
      <c r="G517" s="124" t="s">
        <v>13</v>
      </c>
      <c r="H517" s="126" t="s">
        <v>353</v>
      </c>
      <c r="I517" s="136">
        <v>0</v>
      </c>
      <c r="J517" s="125" t="s">
        <v>79</v>
      </c>
      <c r="K517" s="18">
        <v>46447</v>
      </c>
      <c r="L517" s="18">
        <v>46492</v>
      </c>
      <c r="M517" s="76"/>
      <c r="N517" s="77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86"/>
      <c r="AN517" s="86"/>
      <c r="AO517" s="86"/>
      <c r="AP517" s="86"/>
      <c r="AQ517" s="86"/>
      <c r="AR517" s="86"/>
      <c r="AS517" s="78"/>
      <c r="AT517" s="78"/>
      <c r="AU517" s="78"/>
      <c r="AV517" s="78"/>
      <c r="AW517" s="78"/>
      <c r="AX517" s="78"/>
      <c r="AY517" s="78"/>
      <c r="AZ517" s="78"/>
      <c r="BA517" s="78"/>
      <c r="BB517" s="78"/>
      <c r="BC517" s="78"/>
      <c r="BD517" s="78"/>
      <c r="BE517" s="78"/>
      <c r="BF517" s="78"/>
      <c r="BG517" s="78"/>
      <c r="BH517" s="78"/>
      <c r="BI517" s="78"/>
      <c r="BJ517" s="78"/>
      <c r="BK517" s="78"/>
      <c r="BL517" s="78"/>
      <c r="BM517" s="78"/>
      <c r="BN517" s="92"/>
      <c r="BO517" s="92"/>
      <c r="BP517" s="92"/>
      <c r="BQ517" s="92"/>
      <c r="BR517" s="92"/>
      <c r="BS517" s="78"/>
      <c r="BT517" s="78"/>
      <c r="BU517" s="78"/>
      <c r="BV517" s="78"/>
      <c r="BW517" s="78"/>
      <c r="BX517" s="78"/>
      <c r="BY517" s="78"/>
      <c r="BZ517" s="78"/>
      <c r="CA517" s="78"/>
      <c r="CB517" s="78"/>
      <c r="CC517" s="78"/>
      <c r="CD517" s="78"/>
      <c r="CE517" s="78"/>
      <c r="CF517" s="80"/>
    </row>
    <row r="518" spans="1:84" ht="15.75" x14ac:dyDescent="0.25">
      <c r="A518" s="99" t="s">
        <v>710</v>
      </c>
      <c r="B518" s="100" t="s">
        <v>727</v>
      </c>
      <c r="C518" s="73"/>
      <c r="D518" s="108" t="s">
        <v>620</v>
      </c>
      <c r="E518" s="150"/>
      <c r="F518" s="124" t="s">
        <v>13</v>
      </c>
      <c r="G518" s="124" t="s">
        <v>13</v>
      </c>
      <c r="H518" s="126" t="s">
        <v>353</v>
      </c>
      <c r="I518" s="136">
        <v>0</v>
      </c>
      <c r="J518" s="125" t="s">
        <v>79</v>
      </c>
      <c r="K518" s="18">
        <v>46478</v>
      </c>
      <c r="L518" s="18">
        <v>46492</v>
      </c>
      <c r="M518" s="76"/>
      <c r="N518" s="77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  <c r="AY518" s="78"/>
      <c r="AZ518" s="78"/>
      <c r="BA518" s="78"/>
      <c r="BB518" s="78"/>
      <c r="BC518" s="78"/>
      <c r="BD518" s="78"/>
      <c r="BE518" s="78"/>
      <c r="BF518" s="78"/>
      <c r="BG518" s="78"/>
      <c r="BH518" s="78"/>
      <c r="BI518" s="78"/>
      <c r="BJ518" s="78"/>
      <c r="BK518" s="78"/>
      <c r="BL518" s="78"/>
      <c r="BM518" s="78"/>
      <c r="BN518" s="78"/>
      <c r="BO518" s="78"/>
      <c r="BP518" s="78"/>
      <c r="BQ518" s="92"/>
      <c r="BR518" s="92"/>
      <c r="BS518" s="78"/>
      <c r="BT518" s="78"/>
      <c r="BU518" s="78"/>
      <c r="BV518" s="78"/>
      <c r="BW518" s="78"/>
      <c r="BX518" s="78"/>
      <c r="BY518" s="78"/>
      <c r="BZ518" s="78"/>
      <c r="CA518" s="78"/>
      <c r="CB518" s="78"/>
      <c r="CC518" s="78"/>
      <c r="CD518" s="78"/>
      <c r="CE518" s="78"/>
      <c r="CF518" s="80"/>
    </row>
    <row r="519" spans="1:84" ht="15.75" x14ac:dyDescent="0.25">
      <c r="A519" s="99" t="s">
        <v>710</v>
      </c>
      <c r="B519" s="100" t="s">
        <v>728</v>
      </c>
      <c r="C519" s="73"/>
      <c r="D519" s="108" t="s">
        <v>622</v>
      </c>
      <c r="E519" s="150"/>
      <c r="F519" s="124" t="s">
        <v>13</v>
      </c>
      <c r="G519" s="124" t="s">
        <v>13</v>
      </c>
      <c r="H519" s="126" t="s">
        <v>353</v>
      </c>
      <c r="I519" s="136">
        <v>0</v>
      </c>
      <c r="J519" s="125" t="s">
        <v>79</v>
      </c>
      <c r="K519" s="18">
        <v>46478</v>
      </c>
      <c r="L519" s="18">
        <v>46492</v>
      </c>
      <c r="M519" s="76"/>
      <c r="N519" s="77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86"/>
      <c r="AN519" s="86"/>
      <c r="AO519" s="86"/>
      <c r="AP519" s="86"/>
      <c r="AQ519" s="86"/>
      <c r="AR519" s="86"/>
      <c r="AS519" s="78"/>
      <c r="AT519" s="78"/>
      <c r="AU519" s="78"/>
      <c r="AV519" s="78"/>
      <c r="AW519" s="78"/>
      <c r="AX519" s="78"/>
      <c r="AY519" s="78"/>
      <c r="AZ519" s="78"/>
      <c r="BA519" s="78"/>
      <c r="BB519" s="78"/>
      <c r="BC519" s="78"/>
      <c r="BD519" s="78"/>
      <c r="BE519" s="78"/>
      <c r="BF519" s="78"/>
      <c r="BG519" s="78"/>
      <c r="BH519" s="78"/>
      <c r="BI519" s="78"/>
      <c r="BJ519" s="78"/>
      <c r="BK519" s="78"/>
      <c r="BL519" s="78"/>
      <c r="BM519" s="78"/>
      <c r="BN519" s="78"/>
      <c r="BO519" s="78"/>
      <c r="BP519" s="78"/>
      <c r="BQ519" s="92"/>
      <c r="BR519" s="92"/>
      <c r="BS519" s="78"/>
      <c r="BT519" s="78"/>
      <c r="BU519" s="78"/>
      <c r="BV519" s="78"/>
      <c r="BW519" s="78"/>
      <c r="BX519" s="78"/>
      <c r="BY519" s="78"/>
      <c r="BZ519" s="78"/>
      <c r="CA519" s="78"/>
      <c r="CB519" s="78"/>
      <c r="CC519" s="78"/>
      <c r="CD519" s="78"/>
      <c r="CE519" s="78"/>
      <c r="CF519" s="80"/>
    </row>
    <row r="520" spans="1:84" ht="15.75" x14ac:dyDescent="0.25">
      <c r="A520" s="99" t="s">
        <v>710</v>
      </c>
      <c r="B520" s="100" t="s">
        <v>729</v>
      </c>
      <c r="C520" s="73"/>
      <c r="D520" s="108" t="s">
        <v>373</v>
      </c>
      <c r="E520" s="150"/>
      <c r="F520" s="124" t="s">
        <v>13</v>
      </c>
      <c r="G520" s="124" t="s">
        <v>13</v>
      </c>
      <c r="H520" s="126" t="s">
        <v>353</v>
      </c>
      <c r="I520" s="136">
        <v>0</v>
      </c>
      <c r="J520" s="125" t="s">
        <v>79</v>
      </c>
      <c r="K520" s="18">
        <v>46478</v>
      </c>
      <c r="L520" s="18">
        <v>46492</v>
      </c>
      <c r="M520" s="76"/>
      <c r="N520" s="77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86"/>
      <c r="AN520" s="86"/>
      <c r="AO520" s="86"/>
      <c r="AP520" s="86"/>
      <c r="AQ520" s="86"/>
      <c r="AR520" s="86"/>
      <c r="AS520" s="78"/>
      <c r="AT520" s="78"/>
      <c r="AU520" s="78"/>
      <c r="AV520" s="78"/>
      <c r="AW520" s="78"/>
      <c r="AX520" s="78"/>
      <c r="AY520" s="78"/>
      <c r="AZ520" s="78"/>
      <c r="BA520" s="78"/>
      <c r="BB520" s="78"/>
      <c r="BC520" s="78"/>
      <c r="BD520" s="78"/>
      <c r="BE520" s="78"/>
      <c r="BF520" s="78"/>
      <c r="BG520" s="78"/>
      <c r="BH520" s="78"/>
      <c r="BI520" s="78"/>
      <c r="BJ520" s="78"/>
      <c r="BK520" s="78"/>
      <c r="BL520" s="78"/>
      <c r="BM520" s="78"/>
      <c r="BN520" s="78"/>
      <c r="BO520" s="78"/>
      <c r="BP520" s="78"/>
      <c r="BQ520" s="79"/>
      <c r="BR520" s="79"/>
      <c r="BS520" s="78"/>
      <c r="BT520" s="78"/>
      <c r="BU520" s="78"/>
      <c r="BV520" s="78"/>
      <c r="BW520" s="78"/>
      <c r="BX520" s="78"/>
      <c r="BY520" s="78"/>
      <c r="BZ520" s="78"/>
      <c r="CA520" s="78"/>
      <c r="CB520" s="78"/>
      <c r="CC520" s="78"/>
      <c r="CD520" s="78"/>
      <c r="CE520" s="78"/>
      <c r="CF520" s="80"/>
    </row>
    <row r="521" spans="1:84" ht="15.75" x14ac:dyDescent="0.25">
      <c r="A521" s="99" t="s">
        <v>710</v>
      </c>
      <c r="B521" s="100" t="s">
        <v>730</v>
      </c>
      <c r="C521" s="90"/>
      <c r="D521" s="15" t="s">
        <v>375</v>
      </c>
      <c r="E521" s="150"/>
      <c r="F521" s="124" t="s">
        <v>13</v>
      </c>
      <c r="G521" s="124" t="s">
        <v>13</v>
      </c>
      <c r="H521" s="126" t="s">
        <v>353</v>
      </c>
      <c r="I521" s="75"/>
      <c r="J521" s="125" t="s">
        <v>79</v>
      </c>
      <c r="K521" s="18">
        <v>46492</v>
      </c>
      <c r="L521" s="18">
        <v>46522</v>
      </c>
      <c r="M521" s="76"/>
      <c r="N521" s="77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86"/>
      <c r="AN521" s="86"/>
      <c r="AO521" s="86"/>
      <c r="AP521" s="86"/>
      <c r="AQ521" s="86"/>
      <c r="AR521" s="86"/>
      <c r="AS521" s="78"/>
      <c r="AT521" s="78"/>
      <c r="AU521" s="78"/>
      <c r="AV521" s="78"/>
      <c r="AW521" s="78"/>
      <c r="AX521" s="78"/>
      <c r="AY521" s="78"/>
      <c r="AZ521" s="78"/>
      <c r="BA521" s="78"/>
      <c r="BB521" s="78"/>
      <c r="BC521" s="78"/>
      <c r="BD521" s="78"/>
      <c r="BE521" s="78"/>
      <c r="BF521" s="78"/>
      <c r="BG521" s="78"/>
      <c r="BH521" s="78"/>
      <c r="BI521" s="78"/>
      <c r="BJ521" s="78"/>
      <c r="BK521" s="78"/>
      <c r="BL521" s="78"/>
      <c r="BM521" s="78"/>
      <c r="BN521" s="78"/>
      <c r="BO521" s="78"/>
      <c r="BP521" s="78"/>
      <c r="BQ521" s="78"/>
      <c r="BR521" s="78"/>
      <c r="BS521" s="93"/>
      <c r="BT521" s="93"/>
      <c r="BU521" s="93"/>
      <c r="BV521" s="93"/>
      <c r="BW521" s="78"/>
      <c r="BX521" s="78"/>
      <c r="BY521" s="78"/>
      <c r="BZ521" s="78"/>
      <c r="CA521" s="78"/>
      <c r="CB521" s="78"/>
      <c r="CC521" s="78"/>
      <c r="CD521" s="78"/>
      <c r="CE521" s="78"/>
      <c r="CF521" s="80"/>
    </row>
    <row r="522" spans="1:84" ht="15.75" x14ac:dyDescent="0.25">
      <c r="A522" s="99" t="s">
        <v>710</v>
      </c>
      <c r="B522" s="100" t="s">
        <v>731</v>
      </c>
      <c r="C522" s="73"/>
      <c r="D522" s="108" t="s">
        <v>626</v>
      </c>
      <c r="E522" s="150"/>
      <c r="F522" s="124" t="s">
        <v>13</v>
      </c>
      <c r="G522" s="124" t="s">
        <v>13</v>
      </c>
      <c r="H522" s="126" t="s">
        <v>353</v>
      </c>
      <c r="I522" s="136">
        <v>0</v>
      </c>
      <c r="J522" s="125" t="s">
        <v>79</v>
      </c>
      <c r="K522" s="18">
        <v>46492</v>
      </c>
      <c r="L522" s="18">
        <v>46522</v>
      </c>
      <c r="M522" s="76"/>
      <c r="N522" s="77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86"/>
      <c r="AT522" s="86"/>
      <c r="AU522" s="86"/>
      <c r="AV522" s="86"/>
      <c r="AW522" s="86"/>
      <c r="AX522" s="86"/>
      <c r="AY522" s="86"/>
      <c r="AZ522" s="86"/>
      <c r="BA522" s="86"/>
      <c r="BB522" s="86"/>
      <c r="BC522" s="86"/>
      <c r="BD522" s="86"/>
      <c r="BE522" s="86"/>
      <c r="BF522" s="86"/>
      <c r="BG522" s="86"/>
      <c r="BH522" s="86"/>
      <c r="BI522" s="86"/>
      <c r="BJ522" s="78"/>
      <c r="BK522" s="78"/>
      <c r="BL522" s="78"/>
      <c r="BM522" s="78"/>
      <c r="BN522" s="78"/>
      <c r="BO522" s="78"/>
      <c r="BP522" s="78"/>
      <c r="BQ522" s="78"/>
      <c r="BR522" s="78"/>
      <c r="BS522" s="92"/>
      <c r="BT522" s="92"/>
      <c r="BU522" s="92"/>
      <c r="BV522" s="92"/>
      <c r="BW522" s="78"/>
      <c r="BX522" s="78"/>
      <c r="BY522" s="78"/>
      <c r="BZ522" s="78"/>
      <c r="CA522" s="78"/>
      <c r="CB522" s="78"/>
      <c r="CC522" s="78"/>
      <c r="CD522" s="78"/>
      <c r="CE522" s="78"/>
      <c r="CF522" s="80"/>
    </row>
    <row r="523" spans="1:84" ht="15.75" x14ac:dyDescent="0.25">
      <c r="A523" s="99" t="s">
        <v>710</v>
      </c>
      <c r="B523" s="100" t="s">
        <v>732</v>
      </c>
      <c r="C523" s="73"/>
      <c r="D523" s="108" t="s">
        <v>628</v>
      </c>
      <c r="E523" s="150"/>
      <c r="F523" s="124" t="s">
        <v>13</v>
      </c>
      <c r="G523" s="124" t="s">
        <v>13</v>
      </c>
      <c r="H523" s="126" t="s">
        <v>353</v>
      </c>
      <c r="I523" s="136">
        <v>0</v>
      </c>
      <c r="J523" s="125" t="s">
        <v>79</v>
      </c>
      <c r="K523" s="18">
        <v>46508</v>
      </c>
      <c r="L523" s="18">
        <v>46522</v>
      </c>
      <c r="M523" s="76"/>
      <c r="N523" s="77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86"/>
      <c r="AN523" s="86"/>
      <c r="AO523" s="86"/>
      <c r="AP523" s="86"/>
      <c r="AQ523" s="86"/>
      <c r="AR523" s="86"/>
      <c r="AS523" s="86"/>
      <c r="AT523" s="86"/>
      <c r="AU523" s="86"/>
      <c r="AV523" s="86"/>
      <c r="AW523" s="86"/>
      <c r="AX523" s="86"/>
      <c r="AY523" s="86"/>
      <c r="AZ523" s="86"/>
      <c r="BA523" s="86"/>
      <c r="BB523" s="86"/>
      <c r="BC523" s="86"/>
      <c r="BD523" s="86"/>
      <c r="BE523" s="86"/>
      <c r="BF523" s="86"/>
      <c r="BG523" s="86"/>
      <c r="BH523" s="86"/>
      <c r="BI523" s="86"/>
      <c r="BJ523" s="78"/>
      <c r="BK523" s="78"/>
      <c r="BL523" s="78"/>
      <c r="BM523" s="78"/>
      <c r="BN523" s="78"/>
      <c r="BO523" s="78"/>
      <c r="BP523" s="78"/>
      <c r="BQ523" s="78"/>
      <c r="BR523" s="78"/>
      <c r="BS523" s="78"/>
      <c r="BT523" s="78"/>
      <c r="BU523" s="92"/>
      <c r="BV523" s="92"/>
      <c r="BW523" s="78"/>
      <c r="BX523" s="78"/>
      <c r="BY523" s="78"/>
      <c r="BZ523" s="78"/>
      <c r="CA523" s="78"/>
      <c r="CB523" s="78"/>
      <c r="CC523" s="78"/>
      <c r="CD523" s="78"/>
      <c r="CE523" s="78"/>
      <c r="CF523" s="80"/>
    </row>
    <row r="524" spans="1:84" ht="15.75" x14ac:dyDescent="0.25">
      <c r="A524" s="99" t="s">
        <v>710</v>
      </c>
      <c r="B524" s="100" t="s">
        <v>733</v>
      </c>
      <c r="C524" s="73"/>
      <c r="D524" s="108" t="s">
        <v>630</v>
      </c>
      <c r="E524" s="150"/>
      <c r="F524" s="124" t="s">
        <v>13</v>
      </c>
      <c r="G524" s="124" t="s">
        <v>13</v>
      </c>
      <c r="H524" s="126" t="s">
        <v>353</v>
      </c>
      <c r="I524" s="136">
        <v>0</v>
      </c>
      <c r="J524" s="125" t="s">
        <v>79</v>
      </c>
      <c r="K524" s="18">
        <v>46508</v>
      </c>
      <c r="L524" s="18">
        <v>46522</v>
      </c>
      <c r="M524" s="76"/>
      <c r="N524" s="77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86"/>
      <c r="AN524" s="86"/>
      <c r="AO524" s="86"/>
      <c r="AP524" s="86"/>
      <c r="AQ524" s="86"/>
      <c r="AR524" s="86"/>
      <c r="AS524" s="86"/>
      <c r="AT524" s="86"/>
      <c r="AU524" s="86"/>
      <c r="AV524" s="86"/>
      <c r="AW524" s="86"/>
      <c r="AX524" s="86"/>
      <c r="AY524" s="86"/>
      <c r="AZ524" s="86"/>
      <c r="BA524" s="86"/>
      <c r="BB524" s="86"/>
      <c r="BC524" s="86"/>
      <c r="BD524" s="86"/>
      <c r="BE524" s="86"/>
      <c r="BF524" s="86"/>
      <c r="BG524" s="86"/>
      <c r="BH524" s="86"/>
      <c r="BI524" s="86"/>
      <c r="BJ524" s="78"/>
      <c r="BK524" s="78"/>
      <c r="BL524" s="78"/>
      <c r="BM524" s="78"/>
      <c r="BN524" s="78"/>
      <c r="BO524" s="78"/>
      <c r="BP524" s="78"/>
      <c r="BQ524" s="78"/>
      <c r="BR524" s="78"/>
      <c r="BS524" s="78"/>
      <c r="BT524" s="78"/>
      <c r="BU524" s="92"/>
      <c r="BV524" s="92"/>
      <c r="BW524" s="78"/>
      <c r="BX524" s="78"/>
      <c r="BY524" s="78"/>
      <c r="BZ524" s="78"/>
      <c r="CA524" s="78"/>
      <c r="CB524" s="78"/>
      <c r="CC524" s="78"/>
      <c r="CD524" s="78"/>
      <c r="CE524" s="78"/>
      <c r="CF524" s="80"/>
    </row>
    <row r="525" spans="1:84" ht="31.5" x14ac:dyDescent="0.25">
      <c r="A525" s="99" t="s">
        <v>710</v>
      </c>
      <c r="B525" s="100" t="s">
        <v>734</v>
      </c>
      <c r="C525" s="84"/>
      <c r="D525" s="15" t="s">
        <v>385</v>
      </c>
      <c r="E525" s="150"/>
      <c r="F525" s="124" t="s">
        <v>310</v>
      </c>
      <c r="G525" s="124" t="s">
        <v>13</v>
      </c>
      <c r="H525" s="126" t="s">
        <v>353</v>
      </c>
      <c r="I525" s="136">
        <v>0</v>
      </c>
      <c r="J525" s="125" t="s">
        <v>79</v>
      </c>
      <c r="K525" s="18">
        <v>46508</v>
      </c>
      <c r="L525" s="18">
        <v>46522</v>
      </c>
      <c r="M525" s="76"/>
      <c r="N525" s="77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  <c r="AQ525" s="86"/>
      <c r="AR525" s="86"/>
      <c r="AS525" s="86"/>
      <c r="AT525" s="86"/>
      <c r="AU525" s="86"/>
      <c r="AV525" s="86"/>
      <c r="AW525" s="86"/>
      <c r="AX525" s="86"/>
      <c r="AY525" s="86"/>
      <c r="AZ525" s="86"/>
      <c r="BA525" s="86"/>
      <c r="BB525" s="86"/>
      <c r="BC525" s="86"/>
      <c r="BD525" s="86"/>
      <c r="BE525" s="86"/>
      <c r="BF525" s="86"/>
      <c r="BG525" s="86"/>
      <c r="BH525" s="86"/>
      <c r="BI525" s="86"/>
      <c r="BJ525" s="86"/>
      <c r="BK525" s="86"/>
      <c r="BL525" s="86"/>
      <c r="BM525" s="86"/>
      <c r="BN525" s="86"/>
      <c r="BO525" s="86"/>
      <c r="BP525" s="86"/>
      <c r="BQ525" s="86"/>
      <c r="BR525" s="86"/>
      <c r="BS525" s="86"/>
      <c r="BT525" s="86"/>
      <c r="BU525" s="87"/>
      <c r="BV525" s="87"/>
      <c r="BW525" s="86"/>
      <c r="BX525" s="86"/>
      <c r="BY525" s="86"/>
      <c r="BZ525" s="86"/>
      <c r="CA525" s="86"/>
      <c r="CB525" s="86"/>
      <c r="CC525" s="86"/>
      <c r="CD525" s="86"/>
      <c r="CE525" s="86"/>
      <c r="CF525" s="88"/>
    </row>
    <row r="526" spans="1:84" ht="15.75" x14ac:dyDescent="0.25">
      <c r="A526" s="99" t="s">
        <v>710</v>
      </c>
      <c r="B526" s="100" t="s">
        <v>735</v>
      </c>
      <c r="C526" s="84"/>
      <c r="D526" s="15" t="s">
        <v>387</v>
      </c>
      <c r="E526" s="150"/>
      <c r="F526" s="124" t="s">
        <v>274</v>
      </c>
      <c r="G526" s="124" t="s">
        <v>13</v>
      </c>
      <c r="H526" s="126" t="s">
        <v>353</v>
      </c>
      <c r="I526" s="136">
        <v>0</v>
      </c>
      <c r="J526" s="125" t="s">
        <v>79</v>
      </c>
      <c r="K526" s="18">
        <v>46508</v>
      </c>
      <c r="L526" s="18">
        <v>46522</v>
      </c>
      <c r="M526" s="76"/>
      <c r="N526" s="77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78"/>
      <c r="AN526" s="78"/>
      <c r="AO526" s="78"/>
      <c r="AP526" s="78"/>
      <c r="AQ526" s="78"/>
      <c r="AR526" s="78"/>
      <c r="AS526" s="86"/>
      <c r="AT526" s="86"/>
      <c r="AU526" s="86"/>
      <c r="AV526" s="86"/>
      <c r="AW526" s="86"/>
      <c r="AX526" s="86"/>
      <c r="AY526" s="86"/>
      <c r="AZ526" s="86"/>
      <c r="BA526" s="86"/>
      <c r="BB526" s="86"/>
      <c r="BC526" s="86"/>
      <c r="BD526" s="86"/>
      <c r="BE526" s="86"/>
      <c r="BF526" s="86"/>
      <c r="BG526" s="86"/>
      <c r="BH526" s="86"/>
      <c r="BI526" s="86"/>
      <c r="BJ526" s="86"/>
      <c r="BK526" s="86"/>
      <c r="BL526" s="86"/>
      <c r="BM526" s="86"/>
      <c r="BN526" s="86"/>
      <c r="BO526" s="86"/>
      <c r="BP526" s="86"/>
      <c r="BQ526" s="86"/>
      <c r="BR526" s="86"/>
      <c r="BS526" s="86"/>
      <c r="BT526" s="86"/>
      <c r="BU526" s="87"/>
      <c r="BV526" s="87"/>
      <c r="BW526" s="86"/>
      <c r="BX526" s="86"/>
      <c r="BY526" s="86"/>
      <c r="BZ526" s="86"/>
      <c r="CA526" s="86"/>
      <c r="CB526" s="86"/>
      <c r="CC526" s="86"/>
      <c r="CD526" s="86"/>
      <c r="CE526" s="86"/>
      <c r="CF526" s="88"/>
    </row>
    <row r="527" spans="1:84" ht="47.25" x14ac:dyDescent="0.25">
      <c r="A527" s="99" t="s">
        <v>710</v>
      </c>
      <c r="B527" s="100" t="s">
        <v>736</v>
      </c>
      <c r="C527" s="84"/>
      <c r="D527" s="43" t="s">
        <v>737</v>
      </c>
      <c r="E527" s="150"/>
      <c r="F527" s="124" t="s">
        <v>13</v>
      </c>
      <c r="G527" s="124" t="s">
        <v>738</v>
      </c>
      <c r="H527" s="126" t="s">
        <v>353</v>
      </c>
      <c r="I527" s="136">
        <v>0</v>
      </c>
      <c r="J527" s="125" t="s">
        <v>79</v>
      </c>
      <c r="K527" s="18">
        <v>46508</v>
      </c>
      <c r="L527" s="18">
        <v>46522</v>
      </c>
      <c r="M527" s="76"/>
      <c r="N527" s="77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  <c r="AQ527" s="86"/>
      <c r="AR527" s="86"/>
      <c r="AS527" s="86"/>
      <c r="AT527" s="86"/>
      <c r="AU527" s="86"/>
      <c r="AV527" s="86"/>
      <c r="AW527" s="86"/>
      <c r="AX527" s="86"/>
      <c r="AY527" s="86"/>
      <c r="AZ527" s="86"/>
      <c r="BA527" s="86"/>
      <c r="BB527" s="86"/>
      <c r="BC527" s="86"/>
      <c r="BD527" s="86"/>
      <c r="BE527" s="86"/>
      <c r="BF527" s="86"/>
      <c r="BG527" s="86"/>
      <c r="BH527" s="86"/>
      <c r="BI527" s="86"/>
      <c r="BJ527" s="86"/>
      <c r="BK527" s="86"/>
      <c r="BL527" s="86"/>
      <c r="BM527" s="86"/>
      <c r="BN527" s="86"/>
      <c r="BO527" s="86"/>
      <c r="BP527" s="86"/>
      <c r="BQ527" s="86"/>
      <c r="BR527" s="86"/>
      <c r="BS527" s="86"/>
      <c r="BT527" s="86"/>
      <c r="BU527" s="86"/>
      <c r="BV527" s="89"/>
      <c r="BW527" s="86"/>
      <c r="BX527" s="86"/>
      <c r="BY527" s="86"/>
      <c r="BZ527" s="86"/>
      <c r="CA527" s="86"/>
      <c r="CB527" s="86"/>
      <c r="CC527" s="86"/>
      <c r="CD527" s="86"/>
      <c r="CE527" s="86"/>
      <c r="CF527" s="88"/>
    </row>
    <row r="528" spans="1:84" ht="15.75" x14ac:dyDescent="0.25">
      <c r="A528" s="99" t="s">
        <v>739</v>
      </c>
      <c r="B528" s="13">
        <v>12</v>
      </c>
      <c r="C528" s="101"/>
      <c r="D528" s="37" t="s">
        <v>740</v>
      </c>
      <c r="E528" s="150"/>
      <c r="F528" s="124" t="s">
        <v>13</v>
      </c>
      <c r="G528" s="124" t="s">
        <v>13</v>
      </c>
      <c r="H528" s="129" t="s">
        <v>353</v>
      </c>
      <c r="I528" s="105"/>
      <c r="J528" s="124" t="s">
        <v>79</v>
      </c>
      <c r="K528" s="18">
        <v>46249</v>
      </c>
      <c r="L528" s="18">
        <v>46522</v>
      </c>
      <c r="M528" s="76"/>
      <c r="N528" s="77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104"/>
      <c r="AN528" s="104"/>
      <c r="AO528" s="104"/>
      <c r="AP528" s="104"/>
      <c r="AQ528" s="104"/>
      <c r="AR528" s="104"/>
      <c r="AS528" s="104"/>
      <c r="AT528" s="104"/>
      <c r="AU528" s="104"/>
      <c r="AV528" s="104"/>
      <c r="AW528" s="104"/>
      <c r="AX528" s="104"/>
      <c r="AY528" s="104"/>
      <c r="AZ528" s="104"/>
      <c r="BA528" s="104"/>
      <c r="BB528" s="104"/>
      <c r="BC528" s="104"/>
      <c r="BD528" s="104"/>
      <c r="BE528" s="104"/>
      <c r="BF528" s="104"/>
      <c r="BG528" s="104"/>
      <c r="BH528" s="104"/>
      <c r="BI528" s="104"/>
      <c r="BJ528" s="104"/>
      <c r="BK528" s="104"/>
      <c r="BL528" s="104"/>
      <c r="BM528" s="104"/>
      <c r="BN528" s="104"/>
      <c r="BO528" s="104"/>
      <c r="BP528" s="104"/>
      <c r="BQ528" s="104"/>
      <c r="BR528" s="104"/>
      <c r="BS528" s="104"/>
      <c r="BT528" s="104"/>
      <c r="BU528" s="104"/>
      <c r="BV528" s="104"/>
      <c r="BW528" s="78"/>
      <c r="BX528" s="78"/>
      <c r="BY528" s="78"/>
      <c r="BZ528" s="78"/>
      <c r="CA528" s="78"/>
      <c r="CB528" s="78"/>
      <c r="CC528" s="78"/>
      <c r="CD528" s="78"/>
      <c r="CE528" s="78"/>
      <c r="CF528" s="80"/>
    </row>
    <row r="529" spans="1:84" ht="15.75" x14ac:dyDescent="0.25">
      <c r="A529" s="99" t="s">
        <v>739</v>
      </c>
      <c r="B529" s="100" t="s">
        <v>741</v>
      </c>
      <c r="C529" s="90"/>
      <c r="D529" s="15" t="s">
        <v>340</v>
      </c>
      <c r="E529" s="150"/>
      <c r="F529" s="124" t="s">
        <v>13</v>
      </c>
      <c r="G529" s="124" t="s">
        <v>13</v>
      </c>
      <c r="H529" s="126" t="s">
        <v>353</v>
      </c>
      <c r="I529" s="75"/>
      <c r="J529" s="125" t="s">
        <v>79</v>
      </c>
      <c r="K529" s="18">
        <v>46296</v>
      </c>
      <c r="L529" s="18">
        <v>46433</v>
      </c>
      <c r="M529" s="76"/>
      <c r="N529" s="77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93"/>
      <c r="AT529" s="93"/>
      <c r="AU529" s="93"/>
      <c r="AV529" s="93"/>
      <c r="AW529" s="93"/>
      <c r="AX529" s="93"/>
      <c r="AY529" s="93"/>
      <c r="AZ529" s="93"/>
      <c r="BA529" s="93"/>
      <c r="BB529" s="93"/>
      <c r="BC529" s="93"/>
      <c r="BD529" s="93"/>
      <c r="BE529" s="93"/>
      <c r="BF529" s="93"/>
      <c r="BG529" s="93"/>
      <c r="BH529" s="93"/>
      <c r="BI529" s="93"/>
      <c r="BJ529" s="78"/>
      <c r="BK529" s="78"/>
      <c r="BL529" s="78"/>
      <c r="BM529" s="78"/>
      <c r="BN529" s="78"/>
      <c r="BO529" s="78"/>
      <c r="BP529" s="78"/>
      <c r="BQ529" s="78"/>
      <c r="BR529" s="78"/>
      <c r="BS529" s="78"/>
      <c r="BT529" s="78"/>
      <c r="BU529" s="78"/>
      <c r="BV529" s="78"/>
      <c r="BW529" s="78"/>
      <c r="BX529" s="78"/>
      <c r="BY529" s="78"/>
      <c r="BZ529" s="78"/>
      <c r="CA529" s="78"/>
      <c r="CB529" s="78"/>
      <c r="CC529" s="78"/>
      <c r="CD529" s="78"/>
      <c r="CE529" s="78"/>
      <c r="CF529" s="80"/>
    </row>
    <row r="530" spans="1:84" ht="15.75" x14ac:dyDescent="0.25">
      <c r="A530" s="99" t="s">
        <v>739</v>
      </c>
      <c r="B530" s="100" t="s">
        <v>742</v>
      </c>
      <c r="C530" s="73"/>
      <c r="D530" s="108" t="s">
        <v>743</v>
      </c>
      <c r="E530" s="150"/>
      <c r="F530" s="124" t="s">
        <v>13</v>
      </c>
      <c r="G530" s="124" t="s">
        <v>13</v>
      </c>
      <c r="H530" s="126" t="s">
        <v>353</v>
      </c>
      <c r="I530" s="136">
        <v>0</v>
      </c>
      <c r="J530" s="125" t="s">
        <v>79</v>
      </c>
      <c r="K530" s="18">
        <v>46296</v>
      </c>
      <c r="L530" s="18">
        <v>46433</v>
      </c>
      <c r="M530" s="76"/>
      <c r="N530" s="77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92"/>
      <c r="AT530" s="92"/>
      <c r="AU530" s="92"/>
      <c r="AV530" s="92"/>
      <c r="AW530" s="92"/>
      <c r="AX530" s="92"/>
      <c r="AY530" s="92"/>
      <c r="AZ530" s="92"/>
      <c r="BA530" s="92"/>
      <c r="BB530" s="92"/>
      <c r="BC530" s="92"/>
      <c r="BD530" s="92"/>
      <c r="BE530" s="92"/>
      <c r="BF530" s="92"/>
      <c r="BG530" s="92"/>
      <c r="BH530" s="92"/>
      <c r="BI530" s="92"/>
      <c r="BJ530" s="78"/>
      <c r="BK530" s="78"/>
      <c r="BL530" s="78"/>
      <c r="BM530" s="78"/>
      <c r="BN530" s="78"/>
      <c r="BO530" s="78"/>
      <c r="BP530" s="78"/>
      <c r="BQ530" s="78"/>
      <c r="BR530" s="78"/>
      <c r="BS530" s="78"/>
      <c r="BT530" s="78"/>
      <c r="BU530" s="78"/>
      <c r="BV530" s="78"/>
      <c r="BW530" s="78"/>
      <c r="BX530" s="78"/>
      <c r="BY530" s="78"/>
      <c r="BZ530" s="78"/>
      <c r="CA530" s="78"/>
      <c r="CB530" s="78"/>
      <c r="CC530" s="78"/>
      <c r="CD530" s="78"/>
      <c r="CE530" s="78"/>
      <c r="CF530" s="80"/>
    </row>
    <row r="531" spans="1:84" ht="15.75" x14ac:dyDescent="0.25">
      <c r="A531" s="99" t="s">
        <v>739</v>
      </c>
      <c r="B531" s="100" t="s">
        <v>744</v>
      </c>
      <c r="C531" s="73"/>
      <c r="D531" s="108" t="s">
        <v>745</v>
      </c>
      <c r="E531" s="150"/>
      <c r="F531" s="124" t="s">
        <v>13</v>
      </c>
      <c r="G531" s="124" t="s">
        <v>13</v>
      </c>
      <c r="H531" s="126" t="s">
        <v>353</v>
      </c>
      <c r="I531" s="136">
        <v>0</v>
      </c>
      <c r="J531" s="125" t="s">
        <v>79</v>
      </c>
      <c r="K531" s="18">
        <v>46327</v>
      </c>
      <c r="L531" s="18">
        <v>46433</v>
      </c>
      <c r="M531" s="76"/>
      <c r="N531" s="77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92"/>
      <c r="AY531" s="92"/>
      <c r="AZ531" s="92"/>
      <c r="BA531" s="92"/>
      <c r="BB531" s="92"/>
      <c r="BC531" s="92"/>
      <c r="BD531" s="92"/>
      <c r="BE531" s="92"/>
      <c r="BF531" s="92"/>
      <c r="BG531" s="92"/>
      <c r="BH531" s="92"/>
      <c r="BI531" s="92"/>
      <c r="BJ531" s="78"/>
      <c r="BK531" s="78"/>
      <c r="BL531" s="78"/>
      <c r="BM531" s="78"/>
      <c r="BN531" s="78"/>
      <c r="BO531" s="78"/>
      <c r="BP531" s="78"/>
      <c r="BQ531" s="78"/>
      <c r="BR531" s="78"/>
      <c r="BS531" s="78"/>
      <c r="BT531" s="78"/>
      <c r="BU531" s="78"/>
      <c r="BV531" s="78"/>
      <c r="BW531" s="78"/>
      <c r="BX531" s="78"/>
      <c r="BY531" s="78"/>
      <c r="BZ531" s="78"/>
      <c r="CA531" s="78"/>
      <c r="CB531" s="78"/>
      <c r="CC531" s="78"/>
      <c r="CD531" s="78"/>
      <c r="CE531" s="78"/>
      <c r="CF531" s="80"/>
    </row>
    <row r="532" spans="1:84" ht="15.75" x14ac:dyDescent="0.25">
      <c r="A532" s="99" t="s">
        <v>739</v>
      </c>
      <c r="B532" s="100" t="s">
        <v>746</v>
      </c>
      <c r="C532" s="90"/>
      <c r="D532" s="15" t="s">
        <v>352</v>
      </c>
      <c r="E532" s="150"/>
      <c r="F532" s="124" t="s">
        <v>13</v>
      </c>
      <c r="G532" s="124" t="s">
        <v>13</v>
      </c>
      <c r="H532" s="126" t="s">
        <v>353</v>
      </c>
      <c r="I532" s="75"/>
      <c r="J532" s="125" t="s">
        <v>79</v>
      </c>
      <c r="K532" s="18">
        <v>46419</v>
      </c>
      <c r="L532" s="18">
        <v>46461</v>
      </c>
      <c r="M532" s="76"/>
      <c r="N532" s="77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  <c r="AY532" s="78"/>
      <c r="AZ532" s="78"/>
      <c r="BA532" s="78"/>
      <c r="BB532" s="78"/>
      <c r="BC532" s="78"/>
      <c r="BD532" s="78"/>
      <c r="BE532" s="78"/>
      <c r="BF532" s="78"/>
      <c r="BG532" s="78"/>
      <c r="BH532" s="78"/>
      <c r="BI532" s="78"/>
      <c r="BJ532" s="93"/>
      <c r="BK532" s="93"/>
      <c r="BL532" s="93"/>
      <c r="BM532" s="93"/>
      <c r="BN532" s="78"/>
      <c r="BO532" s="78"/>
      <c r="BP532" s="78"/>
      <c r="BQ532" s="78"/>
      <c r="BR532" s="78"/>
      <c r="BS532" s="78"/>
      <c r="BT532" s="78"/>
      <c r="BU532" s="78"/>
      <c r="BV532" s="78"/>
      <c r="BW532" s="78"/>
      <c r="BX532" s="78"/>
      <c r="BY532" s="78"/>
      <c r="BZ532" s="78"/>
      <c r="CA532" s="78"/>
      <c r="CB532" s="78"/>
      <c r="CC532" s="78"/>
      <c r="CD532" s="78"/>
      <c r="CE532" s="78"/>
      <c r="CF532" s="80"/>
    </row>
    <row r="533" spans="1:84" ht="15.75" x14ac:dyDescent="0.25">
      <c r="A533" s="99" t="s">
        <v>739</v>
      </c>
      <c r="B533" s="100" t="s">
        <v>747</v>
      </c>
      <c r="C533" s="73"/>
      <c r="D533" s="108" t="s">
        <v>612</v>
      </c>
      <c r="E533" s="150"/>
      <c r="F533" s="124" t="s">
        <v>13</v>
      </c>
      <c r="G533" s="124" t="s">
        <v>13</v>
      </c>
      <c r="H533" s="126" t="s">
        <v>353</v>
      </c>
      <c r="I533" s="136">
        <v>0</v>
      </c>
      <c r="J533" s="125" t="s">
        <v>79</v>
      </c>
      <c r="K533" s="18">
        <v>46419</v>
      </c>
      <c r="L533" s="18">
        <v>46461</v>
      </c>
      <c r="M533" s="76"/>
      <c r="N533" s="77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  <c r="AY533" s="78"/>
      <c r="AZ533" s="78"/>
      <c r="BA533" s="78"/>
      <c r="BB533" s="78"/>
      <c r="BC533" s="78"/>
      <c r="BD533" s="78"/>
      <c r="BE533" s="78"/>
      <c r="BF533" s="78"/>
      <c r="BG533" s="78"/>
      <c r="BH533" s="78"/>
      <c r="BI533" s="78"/>
      <c r="BJ533" s="92"/>
      <c r="BK533" s="92"/>
      <c r="BL533" s="92"/>
      <c r="BM533" s="92"/>
      <c r="BN533" s="78"/>
      <c r="BO533" s="78"/>
      <c r="BP533" s="78"/>
      <c r="BQ533" s="78"/>
      <c r="BR533" s="78"/>
      <c r="BS533" s="78"/>
      <c r="BT533" s="78"/>
      <c r="BU533" s="78"/>
      <c r="BV533" s="78"/>
      <c r="BW533" s="78"/>
      <c r="BX533" s="78"/>
      <c r="BY533" s="78"/>
      <c r="BZ533" s="78"/>
      <c r="CA533" s="78"/>
      <c r="CB533" s="78"/>
      <c r="CC533" s="78"/>
      <c r="CD533" s="78"/>
      <c r="CE533" s="78"/>
      <c r="CF533" s="80"/>
    </row>
    <row r="534" spans="1:84" ht="15.75" x14ac:dyDescent="0.25">
      <c r="A534" s="99" t="s">
        <v>739</v>
      </c>
      <c r="B534" s="100" t="s">
        <v>748</v>
      </c>
      <c r="C534" s="73"/>
      <c r="D534" s="108" t="s">
        <v>614</v>
      </c>
      <c r="E534" s="150"/>
      <c r="F534" s="124" t="s">
        <v>13</v>
      </c>
      <c r="G534" s="124" t="s">
        <v>13</v>
      </c>
      <c r="H534" s="126" t="s">
        <v>353</v>
      </c>
      <c r="I534" s="136">
        <v>0</v>
      </c>
      <c r="J534" s="125" t="s">
        <v>79</v>
      </c>
      <c r="K534" s="18">
        <v>46419</v>
      </c>
      <c r="L534" s="18">
        <v>46446</v>
      </c>
      <c r="M534" s="76"/>
      <c r="N534" s="77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  <c r="AY534" s="78"/>
      <c r="AZ534" s="78"/>
      <c r="BA534" s="78"/>
      <c r="BB534" s="78"/>
      <c r="BC534" s="78"/>
      <c r="BD534" s="78"/>
      <c r="BE534" s="78"/>
      <c r="BF534" s="78"/>
      <c r="BG534" s="78"/>
      <c r="BH534" s="78"/>
      <c r="BI534" s="78"/>
      <c r="BJ534" s="92"/>
      <c r="BK534" s="92"/>
      <c r="BL534" s="78"/>
      <c r="BM534" s="78"/>
      <c r="BN534" s="78"/>
      <c r="BO534" s="78"/>
      <c r="BP534" s="78"/>
      <c r="BQ534" s="78"/>
      <c r="BR534" s="78"/>
      <c r="BS534" s="78"/>
      <c r="BT534" s="78"/>
      <c r="BU534" s="78"/>
      <c r="BV534" s="78"/>
      <c r="BW534" s="78"/>
      <c r="BX534" s="78"/>
      <c r="BY534" s="78"/>
      <c r="BZ534" s="78"/>
      <c r="CA534" s="78"/>
      <c r="CB534" s="78"/>
      <c r="CC534" s="78"/>
      <c r="CD534" s="78"/>
      <c r="CE534" s="78"/>
      <c r="CF534" s="80"/>
    </row>
    <row r="535" spans="1:84" ht="15.75" x14ac:dyDescent="0.25">
      <c r="A535" s="99" t="s">
        <v>739</v>
      </c>
      <c r="B535" s="100" t="s">
        <v>749</v>
      </c>
      <c r="C535" s="73"/>
      <c r="D535" s="108" t="s">
        <v>362</v>
      </c>
      <c r="E535" s="150"/>
      <c r="F535" s="124" t="s">
        <v>13</v>
      </c>
      <c r="G535" s="124" t="s">
        <v>13</v>
      </c>
      <c r="H535" s="126" t="s">
        <v>353</v>
      </c>
      <c r="I535" s="136">
        <v>0</v>
      </c>
      <c r="J535" s="125" t="s">
        <v>79</v>
      </c>
      <c r="K535" s="18">
        <v>46433</v>
      </c>
      <c r="L535" s="18">
        <v>46461</v>
      </c>
      <c r="M535" s="76"/>
      <c r="N535" s="77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  <c r="AY535" s="78"/>
      <c r="AZ535" s="78"/>
      <c r="BA535" s="78"/>
      <c r="BB535" s="78"/>
      <c r="BC535" s="78"/>
      <c r="BD535" s="78"/>
      <c r="BE535" s="78"/>
      <c r="BF535" s="78"/>
      <c r="BG535" s="78"/>
      <c r="BH535" s="78"/>
      <c r="BI535" s="78"/>
      <c r="BJ535" s="78"/>
      <c r="BK535" s="78"/>
      <c r="BL535" s="79"/>
      <c r="BM535" s="79"/>
      <c r="BN535" s="78"/>
      <c r="BO535" s="78"/>
      <c r="BP535" s="78"/>
      <c r="BQ535" s="78"/>
      <c r="BR535" s="78"/>
      <c r="BS535" s="78"/>
      <c r="BT535" s="78"/>
      <c r="BU535" s="78"/>
      <c r="BV535" s="78"/>
      <c r="BW535" s="78"/>
      <c r="BX535" s="78"/>
      <c r="BY535" s="78"/>
      <c r="BZ535" s="78"/>
      <c r="CA535" s="78"/>
      <c r="CB535" s="78"/>
      <c r="CC535" s="78"/>
      <c r="CD535" s="78"/>
      <c r="CE535" s="78"/>
      <c r="CF535" s="80"/>
    </row>
    <row r="536" spans="1:84" ht="15.75" x14ac:dyDescent="0.25">
      <c r="A536" s="99" t="s">
        <v>739</v>
      </c>
      <c r="B536" s="100" t="s">
        <v>750</v>
      </c>
      <c r="C536" s="90"/>
      <c r="D536" s="15" t="s">
        <v>364</v>
      </c>
      <c r="E536" s="150"/>
      <c r="F536" s="124" t="s">
        <v>13</v>
      </c>
      <c r="G536" s="124" t="s">
        <v>13</v>
      </c>
      <c r="H536" s="126" t="s">
        <v>353</v>
      </c>
      <c r="I536" s="75"/>
      <c r="J536" s="125" t="s">
        <v>79</v>
      </c>
      <c r="K536" s="18">
        <v>46447</v>
      </c>
      <c r="L536" s="18">
        <v>46492</v>
      </c>
      <c r="M536" s="76"/>
      <c r="N536" s="77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  <c r="AY536" s="78"/>
      <c r="AZ536" s="78"/>
      <c r="BA536" s="78"/>
      <c r="BB536" s="78"/>
      <c r="BC536" s="78"/>
      <c r="BD536" s="78"/>
      <c r="BE536" s="78"/>
      <c r="BF536" s="78"/>
      <c r="BG536" s="78"/>
      <c r="BH536" s="78"/>
      <c r="BI536" s="78"/>
      <c r="BJ536" s="78"/>
      <c r="BK536" s="78"/>
      <c r="BL536" s="78"/>
      <c r="BM536" s="78"/>
      <c r="BN536" s="93"/>
      <c r="BO536" s="93"/>
      <c r="BP536" s="93"/>
      <c r="BQ536" s="93"/>
      <c r="BR536" s="93"/>
      <c r="BS536" s="78"/>
      <c r="BT536" s="78"/>
      <c r="BU536" s="78"/>
      <c r="BV536" s="78"/>
      <c r="BW536" s="78"/>
      <c r="BX536" s="78"/>
      <c r="BY536" s="78"/>
      <c r="BZ536" s="78"/>
      <c r="CA536" s="78"/>
      <c r="CB536" s="78"/>
      <c r="CC536" s="78"/>
      <c r="CD536" s="78"/>
      <c r="CE536" s="78"/>
      <c r="CF536" s="80"/>
    </row>
    <row r="537" spans="1:84" ht="15.75" x14ac:dyDescent="0.25">
      <c r="A537" s="99" t="s">
        <v>739</v>
      </c>
      <c r="B537" s="100" t="s">
        <v>751</v>
      </c>
      <c r="C537" s="73"/>
      <c r="D537" s="108" t="s">
        <v>618</v>
      </c>
      <c r="E537" s="150"/>
      <c r="F537" s="124" t="s">
        <v>13</v>
      </c>
      <c r="G537" s="124" t="s">
        <v>13</v>
      </c>
      <c r="H537" s="126" t="s">
        <v>353</v>
      </c>
      <c r="I537" s="136">
        <v>0</v>
      </c>
      <c r="J537" s="125" t="s">
        <v>79</v>
      </c>
      <c r="K537" s="18">
        <v>46447</v>
      </c>
      <c r="L537" s="18">
        <v>46492</v>
      </c>
      <c r="M537" s="76"/>
      <c r="N537" s="77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  <c r="AY537" s="78"/>
      <c r="AZ537" s="78"/>
      <c r="BA537" s="78"/>
      <c r="BB537" s="78"/>
      <c r="BC537" s="78"/>
      <c r="BD537" s="78"/>
      <c r="BE537" s="78"/>
      <c r="BF537" s="78"/>
      <c r="BG537" s="78"/>
      <c r="BH537" s="78"/>
      <c r="BI537" s="78"/>
      <c r="BJ537" s="78"/>
      <c r="BK537" s="78"/>
      <c r="BL537" s="78"/>
      <c r="BM537" s="78"/>
      <c r="BN537" s="92"/>
      <c r="BO537" s="92"/>
      <c r="BP537" s="92"/>
      <c r="BQ537" s="92"/>
      <c r="BR537" s="92"/>
      <c r="BS537" s="78"/>
      <c r="BT537" s="78"/>
      <c r="BU537" s="78"/>
      <c r="BV537" s="78"/>
      <c r="BW537" s="78"/>
      <c r="BX537" s="78"/>
      <c r="BY537" s="78"/>
      <c r="BZ537" s="78"/>
      <c r="CA537" s="78"/>
      <c r="CB537" s="78"/>
      <c r="CC537" s="78"/>
      <c r="CD537" s="78"/>
      <c r="CE537" s="78"/>
      <c r="CF537" s="80"/>
    </row>
    <row r="538" spans="1:84" ht="15.75" x14ac:dyDescent="0.25">
      <c r="A538" s="99" t="s">
        <v>739</v>
      </c>
      <c r="B538" s="100" t="s">
        <v>752</v>
      </c>
      <c r="C538" s="73"/>
      <c r="D538" s="108" t="s">
        <v>620</v>
      </c>
      <c r="E538" s="150"/>
      <c r="F538" s="124" t="s">
        <v>13</v>
      </c>
      <c r="G538" s="124" t="s">
        <v>13</v>
      </c>
      <c r="H538" s="126" t="s">
        <v>353</v>
      </c>
      <c r="I538" s="136">
        <v>0</v>
      </c>
      <c r="J538" s="125" t="s">
        <v>79</v>
      </c>
      <c r="K538" s="18">
        <v>46478</v>
      </c>
      <c r="L538" s="18">
        <v>46492</v>
      </c>
      <c r="M538" s="76"/>
      <c r="N538" s="77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  <c r="AY538" s="78"/>
      <c r="AZ538" s="78"/>
      <c r="BA538" s="78"/>
      <c r="BB538" s="78"/>
      <c r="BC538" s="78"/>
      <c r="BD538" s="78"/>
      <c r="BE538" s="78"/>
      <c r="BF538" s="78"/>
      <c r="BG538" s="78"/>
      <c r="BH538" s="78"/>
      <c r="BI538" s="78"/>
      <c r="BJ538" s="78"/>
      <c r="BK538" s="78"/>
      <c r="BL538" s="78"/>
      <c r="BM538" s="78"/>
      <c r="BN538" s="78"/>
      <c r="BO538" s="78"/>
      <c r="BP538" s="78"/>
      <c r="BQ538" s="92"/>
      <c r="BR538" s="92"/>
      <c r="BS538" s="78"/>
      <c r="BT538" s="78"/>
      <c r="BU538" s="78"/>
      <c r="BV538" s="78"/>
      <c r="BW538" s="78"/>
      <c r="BX538" s="78"/>
      <c r="BY538" s="78"/>
      <c r="BZ538" s="78"/>
      <c r="CA538" s="78"/>
      <c r="CB538" s="78"/>
      <c r="CC538" s="78"/>
      <c r="CD538" s="78"/>
      <c r="CE538" s="78"/>
      <c r="CF538" s="80"/>
    </row>
    <row r="539" spans="1:84" ht="15.75" x14ac:dyDescent="0.25">
      <c r="A539" s="99" t="s">
        <v>739</v>
      </c>
      <c r="B539" s="100" t="s">
        <v>753</v>
      </c>
      <c r="C539" s="73"/>
      <c r="D539" s="108" t="s">
        <v>622</v>
      </c>
      <c r="E539" s="150"/>
      <c r="F539" s="124" t="s">
        <v>13</v>
      </c>
      <c r="G539" s="124" t="s">
        <v>13</v>
      </c>
      <c r="H539" s="126" t="s">
        <v>353</v>
      </c>
      <c r="I539" s="136">
        <v>0</v>
      </c>
      <c r="J539" s="125" t="s">
        <v>79</v>
      </c>
      <c r="K539" s="18">
        <v>46478</v>
      </c>
      <c r="L539" s="18">
        <v>46492</v>
      </c>
      <c r="M539" s="76"/>
      <c r="N539" s="77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  <c r="AY539" s="78"/>
      <c r="AZ539" s="78"/>
      <c r="BA539" s="78"/>
      <c r="BB539" s="78"/>
      <c r="BC539" s="78"/>
      <c r="BD539" s="78"/>
      <c r="BE539" s="78"/>
      <c r="BF539" s="78"/>
      <c r="BG539" s="78"/>
      <c r="BH539" s="78"/>
      <c r="BI539" s="78"/>
      <c r="BJ539" s="78"/>
      <c r="BK539" s="78"/>
      <c r="BL539" s="78"/>
      <c r="BM539" s="78"/>
      <c r="BN539" s="78"/>
      <c r="BO539" s="78"/>
      <c r="BP539" s="78"/>
      <c r="BQ539" s="92"/>
      <c r="BR539" s="92"/>
      <c r="BS539" s="78"/>
      <c r="BT539" s="78"/>
      <c r="BU539" s="78"/>
      <c r="BV539" s="78"/>
      <c r="BW539" s="78"/>
      <c r="BX539" s="78"/>
      <c r="BY539" s="78"/>
      <c r="BZ539" s="78"/>
      <c r="CA539" s="78"/>
      <c r="CB539" s="78"/>
      <c r="CC539" s="78"/>
      <c r="CD539" s="78"/>
      <c r="CE539" s="78"/>
      <c r="CF539" s="80"/>
    </row>
    <row r="540" spans="1:84" ht="15.75" x14ac:dyDescent="0.25">
      <c r="A540" s="99" t="s">
        <v>739</v>
      </c>
      <c r="B540" s="100" t="s">
        <v>754</v>
      </c>
      <c r="C540" s="73"/>
      <c r="D540" s="108" t="s">
        <v>373</v>
      </c>
      <c r="E540" s="150"/>
      <c r="F540" s="124" t="s">
        <v>13</v>
      </c>
      <c r="G540" s="124" t="s">
        <v>13</v>
      </c>
      <c r="H540" s="126" t="s">
        <v>353</v>
      </c>
      <c r="I540" s="136">
        <v>0</v>
      </c>
      <c r="J540" s="125" t="s">
        <v>79</v>
      </c>
      <c r="K540" s="18">
        <v>46478</v>
      </c>
      <c r="L540" s="18">
        <v>46492</v>
      </c>
      <c r="M540" s="76"/>
      <c r="N540" s="77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  <c r="AY540" s="78"/>
      <c r="AZ540" s="78"/>
      <c r="BA540" s="78"/>
      <c r="BB540" s="78"/>
      <c r="BC540" s="78"/>
      <c r="BD540" s="78"/>
      <c r="BE540" s="78"/>
      <c r="BF540" s="78"/>
      <c r="BG540" s="78"/>
      <c r="BH540" s="78"/>
      <c r="BI540" s="78"/>
      <c r="BJ540" s="78"/>
      <c r="BK540" s="78"/>
      <c r="BL540" s="78"/>
      <c r="BM540" s="78"/>
      <c r="BN540" s="78"/>
      <c r="BO540" s="78"/>
      <c r="BP540" s="78"/>
      <c r="BQ540" s="79"/>
      <c r="BR540" s="79"/>
      <c r="BS540" s="78"/>
      <c r="BT540" s="78"/>
      <c r="BU540" s="78"/>
      <c r="BV540" s="78"/>
      <c r="BW540" s="78"/>
      <c r="BX540" s="78"/>
      <c r="BY540" s="78"/>
      <c r="BZ540" s="78"/>
      <c r="CA540" s="78"/>
      <c r="CB540" s="78"/>
      <c r="CC540" s="78"/>
      <c r="CD540" s="78"/>
      <c r="CE540" s="78"/>
      <c r="CF540" s="80"/>
    </row>
    <row r="541" spans="1:84" ht="15.75" x14ac:dyDescent="0.25">
      <c r="A541" s="99" t="s">
        <v>739</v>
      </c>
      <c r="B541" s="100" t="s">
        <v>755</v>
      </c>
      <c r="C541" s="90"/>
      <c r="D541" s="15" t="s">
        <v>375</v>
      </c>
      <c r="E541" s="150"/>
      <c r="F541" s="124" t="s">
        <v>13</v>
      </c>
      <c r="G541" s="124" t="s">
        <v>13</v>
      </c>
      <c r="H541" s="126" t="s">
        <v>353</v>
      </c>
      <c r="I541" s="75"/>
      <c r="J541" s="125" t="s">
        <v>79</v>
      </c>
      <c r="K541" s="18">
        <v>46492</v>
      </c>
      <c r="L541" s="18">
        <v>46522</v>
      </c>
      <c r="M541" s="76"/>
      <c r="N541" s="77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  <c r="AY541" s="78"/>
      <c r="AZ541" s="78"/>
      <c r="BA541" s="78"/>
      <c r="BB541" s="78"/>
      <c r="BC541" s="78"/>
      <c r="BD541" s="78"/>
      <c r="BE541" s="78"/>
      <c r="BF541" s="78"/>
      <c r="BG541" s="78"/>
      <c r="BH541" s="78"/>
      <c r="BI541" s="78"/>
      <c r="BJ541" s="78"/>
      <c r="BK541" s="78"/>
      <c r="BL541" s="78"/>
      <c r="BM541" s="78"/>
      <c r="BN541" s="78"/>
      <c r="BO541" s="78"/>
      <c r="BP541" s="78"/>
      <c r="BQ541" s="78"/>
      <c r="BR541" s="78"/>
      <c r="BS541" s="93"/>
      <c r="BT541" s="93"/>
      <c r="BU541" s="93"/>
      <c r="BV541" s="93"/>
      <c r="BW541" s="78"/>
      <c r="BX541" s="78"/>
      <c r="BY541" s="78"/>
      <c r="BZ541" s="78"/>
      <c r="CA541" s="78"/>
      <c r="CB541" s="78"/>
      <c r="CC541" s="78"/>
      <c r="CD541" s="78"/>
      <c r="CE541" s="78"/>
      <c r="CF541" s="80"/>
    </row>
    <row r="542" spans="1:84" ht="15.75" x14ac:dyDescent="0.25">
      <c r="A542" s="99" t="s">
        <v>739</v>
      </c>
      <c r="B542" s="100" t="s">
        <v>756</v>
      </c>
      <c r="C542" s="73"/>
      <c r="D542" s="108" t="s">
        <v>626</v>
      </c>
      <c r="E542" s="150"/>
      <c r="F542" s="124" t="s">
        <v>13</v>
      </c>
      <c r="G542" s="124" t="s">
        <v>13</v>
      </c>
      <c r="H542" s="126" t="s">
        <v>353</v>
      </c>
      <c r="I542" s="136">
        <v>0</v>
      </c>
      <c r="J542" s="125" t="s">
        <v>79</v>
      </c>
      <c r="K542" s="18">
        <v>46492</v>
      </c>
      <c r="L542" s="18">
        <v>46522</v>
      </c>
      <c r="M542" s="76"/>
      <c r="N542" s="77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  <c r="AY542" s="78"/>
      <c r="AZ542" s="78"/>
      <c r="BA542" s="78"/>
      <c r="BB542" s="78"/>
      <c r="BC542" s="78"/>
      <c r="BD542" s="78"/>
      <c r="BE542" s="78"/>
      <c r="BF542" s="78"/>
      <c r="BG542" s="78"/>
      <c r="BH542" s="78"/>
      <c r="BI542" s="78"/>
      <c r="BJ542" s="78"/>
      <c r="BK542" s="78"/>
      <c r="BL542" s="78"/>
      <c r="BM542" s="78"/>
      <c r="BN542" s="78"/>
      <c r="BO542" s="78"/>
      <c r="BP542" s="78"/>
      <c r="BQ542" s="78"/>
      <c r="BR542" s="78"/>
      <c r="BS542" s="92"/>
      <c r="BT542" s="92"/>
      <c r="BU542" s="92"/>
      <c r="BV542" s="92"/>
      <c r="BW542" s="78"/>
      <c r="BX542" s="78"/>
      <c r="BY542" s="78"/>
      <c r="BZ542" s="78"/>
      <c r="CA542" s="78"/>
      <c r="CB542" s="78"/>
      <c r="CC542" s="78"/>
      <c r="CD542" s="78"/>
      <c r="CE542" s="78"/>
      <c r="CF542" s="80"/>
    </row>
    <row r="543" spans="1:84" ht="15.75" x14ac:dyDescent="0.25">
      <c r="A543" s="99" t="s">
        <v>739</v>
      </c>
      <c r="B543" s="100" t="s">
        <v>757</v>
      </c>
      <c r="C543" s="73"/>
      <c r="D543" s="108" t="s">
        <v>628</v>
      </c>
      <c r="E543" s="150"/>
      <c r="F543" s="124" t="s">
        <v>13</v>
      </c>
      <c r="G543" s="124" t="s">
        <v>13</v>
      </c>
      <c r="H543" s="126" t="s">
        <v>353</v>
      </c>
      <c r="I543" s="136">
        <v>0</v>
      </c>
      <c r="J543" s="125" t="s">
        <v>79</v>
      </c>
      <c r="K543" s="18">
        <v>46508</v>
      </c>
      <c r="L543" s="18">
        <v>46522</v>
      </c>
      <c r="M543" s="76"/>
      <c r="N543" s="77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  <c r="AY543" s="78"/>
      <c r="AZ543" s="78"/>
      <c r="BA543" s="78"/>
      <c r="BB543" s="78"/>
      <c r="BC543" s="78"/>
      <c r="BD543" s="78"/>
      <c r="BE543" s="78"/>
      <c r="BF543" s="78"/>
      <c r="BG543" s="78"/>
      <c r="BH543" s="78"/>
      <c r="BI543" s="78"/>
      <c r="BJ543" s="78"/>
      <c r="BK543" s="78"/>
      <c r="BL543" s="78"/>
      <c r="BM543" s="78"/>
      <c r="BN543" s="78"/>
      <c r="BO543" s="78"/>
      <c r="BP543" s="78"/>
      <c r="BQ543" s="78"/>
      <c r="BR543" s="78"/>
      <c r="BS543" s="78"/>
      <c r="BT543" s="78"/>
      <c r="BU543" s="92"/>
      <c r="BV543" s="92"/>
      <c r="BW543" s="78"/>
      <c r="BX543" s="78"/>
      <c r="BY543" s="78"/>
      <c r="BZ543" s="78"/>
      <c r="CA543" s="78"/>
      <c r="CB543" s="78"/>
      <c r="CC543" s="78"/>
      <c r="CD543" s="78"/>
      <c r="CE543" s="78"/>
      <c r="CF543" s="80"/>
    </row>
    <row r="544" spans="1:84" ht="15.75" x14ac:dyDescent="0.25">
      <c r="A544" s="99" t="s">
        <v>739</v>
      </c>
      <c r="B544" s="100" t="s">
        <v>758</v>
      </c>
      <c r="C544" s="73"/>
      <c r="D544" s="108" t="s">
        <v>630</v>
      </c>
      <c r="E544" s="150"/>
      <c r="F544" s="124" t="s">
        <v>13</v>
      </c>
      <c r="G544" s="124" t="s">
        <v>13</v>
      </c>
      <c r="H544" s="126" t="s">
        <v>353</v>
      </c>
      <c r="I544" s="136">
        <v>0</v>
      </c>
      <c r="J544" s="125" t="s">
        <v>79</v>
      </c>
      <c r="K544" s="18">
        <v>46508</v>
      </c>
      <c r="L544" s="18">
        <v>46522</v>
      </c>
      <c r="M544" s="76"/>
      <c r="N544" s="77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86"/>
      <c r="AT544" s="86"/>
      <c r="AU544" s="86"/>
      <c r="AV544" s="86"/>
      <c r="AW544" s="86"/>
      <c r="AX544" s="86"/>
      <c r="AY544" s="86"/>
      <c r="AZ544" s="86"/>
      <c r="BA544" s="86"/>
      <c r="BB544" s="86"/>
      <c r="BC544" s="86"/>
      <c r="BD544" s="86"/>
      <c r="BE544" s="86"/>
      <c r="BF544" s="86"/>
      <c r="BG544" s="86"/>
      <c r="BH544" s="86"/>
      <c r="BI544" s="86"/>
      <c r="BJ544" s="78"/>
      <c r="BK544" s="78"/>
      <c r="BL544" s="78"/>
      <c r="BM544" s="78"/>
      <c r="BN544" s="78"/>
      <c r="BO544" s="78"/>
      <c r="BP544" s="78"/>
      <c r="BQ544" s="78"/>
      <c r="BR544" s="78"/>
      <c r="BS544" s="78"/>
      <c r="BT544" s="78"/>
      <c r="BU544" s="92"/>
      <c r="BV544" s="92"/>
      <c r="BW544" s="78"/>
      <c r="BX544" s="78"/>
      <c r="BY544" s="78"/>
      <c r="BZ544" s="78"/>
      <c r="CA544" s="78"/>
      <c r="CB544" s="78"/>
      <c r="CC544" s="78"/>
      <c r="CD544" s="78"/>
      <c r="CE544" s="78"/>
      <c r="CF544" s="80"/>
    </row>
    <row r="545" spans="1:84" ht="31.5" x14ac:dyDescent="0.25">
      <c r="A545" s="99" t="s">
        <v>739</v>
      </c>
      <c r="B545" s="100" t="s">
        <v>759</v>
      </c>
      <c r="C545" s="84"/>
      <c r="D545" s="15" t="s">
        <v>385</v>
      </c>
      <c r="E545" s="150"/>
      <c r="F545" s="124" t="s">
        <v>310</v>
      </c>
      <c r="G545" s="124" t="s">
        <v>13</v>
      </c>
      <c r="H545" s="126" t="s">
        <v>353</v>
      </c>
      <c r="I545" s="136">
        <v>0</v>
      </c>
      <c r="J545" s="125" t="s">
        <v>79</v>
      </c>
      <c r="K545" s="18">
        <v>46508</v>
      </c>
      <c r="L545" s="18">
        <v>46522</v>
      </c>
      <c r="M545" s="76"/>
      <c r="N545" s="77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86"/>
      <c r="AM545" s="86"/>
      <c r="AN545" s="86"/>
      <c r="AO545" s="86"/>
      <c r="AP545" s="86"/>
      <c r="AQ545" s="86"/>
      <c r="AR545" s="86"/>
      <c r="AS545" s="78"/>
      <c r="AT545" s="78"/>
      <c r="AU545" s="78"/>
      <c r="AV545" s="78"/>
      <c r="AW545" s="78"/>
      <c r="AX545" s="78"/>
      <c r="AY545" s="78"/>
      <c r="AZ545" s="78"/>
      <c r="BA545" s="78"/>
      <c r="BB545" s="78"/>
      <c r="BC545" s="78"/>
      <c r="BD545" s="78"/>
      <c r="BE545" s="78"/>
      <c r="BF545" s="78"/>
      <c r="BG545" s="78"/>
      <c r="BH545" s="78"/>
      <c r="BI545" s="78"/>
      <c r="BJ545" s="86"/>
      <c r="BK545" s="86"/>
      <c r="BL545" s="86"/>
      <c r="BM545" s="86"/>
      <c r="BN545" s="86"/>
      <c r="BO545" s="86"/>
      <c r="BP545" s="86"/>
      <c r="BQ545" s="86"/>
      <c r="BR545" s="86"/>
      <c r="BS545" s="86"/>
      <c r="BT545" s="86"/>
      <c r="BU545" s="87"/>
      <c r="BV545" s="87"/>
      <c r="BW545" s="86"/>
      <c r="BX545" s="86"/>
      <c r="BY545" s="86"/>
      <c r="BZ545" s="86"/>
      <c r="CA545" s="86"/>
      <c r="CB545" s="86"/>
      <c r="CC545" s="86"/>
      <c r="CD545" s="86"/>
      <c r="CE545" s="86"/>
      <c r="CF545" s="88"/>
    </row>
    <row r="546" spans="1:84" ht="15.75" x14ac:dyDescent="0.25">
      <c r="A546" s="99" t="s">
        <v>739</v>
      </c>
      <c r="B546" s="100" t="s">
        <v>760</v>
      </c>
      <c r="C546" s="84"/>
      <c r="D546" s="15" t="s">
        <v>387</v>
      </c>
      <c r="E546" s="150"/>
      <c r="F546" s="124" t="s">
        <v>274</v>
      </c>
      <c r="G546" s="124" t="s">
        <v>13</v>
      </c>
      <c r="H546" s="126" t="s">
        <v>353</v>
      </c>
      <c r="I546" s="136">
        <v>0</v>
      </c>
      <c r="J546" s="125" t="s">
        <v>79</v>
      </c>
      <c r="K546" s="18">
        <v>46508</v>
      </c>
      <c r="L546" s="18">
        <v>46522</v>
      </c>
      <c r="M546" s="76"/>
      <c r="N546" s="77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86"/>
      <c r="AM546" s="86"/>
      <c r="AN546" s="86"/>
      <c r="AO546" s="86"/>
      <c r="AP546" s="86"/>
      <c r="AQ546" s="86"/>
      <c r="AR546" s="86"/>
      <c r="AS546" s="78"/>
      <c r="AT546" s="78"/>
      <c r="AU546" s="78"/>
      <c r="AV546" s="78"/>
      <c r="AW546" s="78"/>
      <c r="AX546" s="78"/>
      <c r="AY546" s="78"/>
      <c r="AZ546" s="78"/>
      <c r="BA546" s="78"/>
      <c r="BB546" s="78"/>
      <c r="BC546" s="78"/>
      <c r="BD546" s="78"/>
      <c r="BE546" s="78"/>
      <c r="BF546" s="78"/>
      <c r="BG546" s="78"/>
      <c r="BH546" s="78"/>
      <c r="BI546" s="78"/>
      <c r="BJ546" s="78"/>
      <c r="BK546" s="78"/>
      <c r="BL546" s="78"/>
      <c r="BM546" s="78"/>
      <c r="BN546" s="78"/>
      <c r="BO546" s="78"/>
      <c r="BP546" s="78"/>
      <c r="BQ546" s="78"/>
      <c r="BR546" s="78"/>
      <c r="BS546" s="78"/>
      <c r="BT546" s="78"/>
      <c r="BU546" s="87"/>
      <c r="BV546" s="87"/>
      <c r="BW546" s="86"/>
      <c r="BX546" s="86"/>
      <c r="BY546" s="86"/>
      <c r="BZ546" s="86"/>
      <c r="CA546" s="86"/>
      <c r="CB546" s="86"/>
      <c r="CC546" s="86"/>
      <c r="CD546" s="86"/>
      <c r="CE546" s="86"/>
      <c r="CF546" s="88"/>
    </row>
    <row r="547" spans="1:84" ht="47.25" x14ac:dyDescent="0.25">
      <c r="A547" s="99" t="s">
        <v>739</v>
      </c>
      <c r="B547" s="100" t="s">
        <v>761</v>
      </c>
      <c r="C547" s="84"/>
      <c r="D547" s="43" t="s">
        <v>762</v>
      </c>
      <c r="E547" s="150"/>
      <c r="F547" s="124" t="s">
        <v>13</v>
      </c>
      <c r="G547" s="124" t="s">
        <v>763</v>
      </c>
      <c r="H547" s="126" t="s">
        <v>353</v>
      </c>
      <c r="I547" s="136">
        <v>0</v>
      </c>
      <c r="J547" s="125" t="s">
        <v>79</v>
      </c>
      <c r="K547" s="18">
        <v>46508</v>
      </c>
      <c r="L547" s="18">
        <v>46522</v>
      </c>
      <c r="M547" s="76"/>
      <c r="N547" s="77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  <c r="AN547" s="86"/>
      <c r="AO547" s="86"/>
      <c r="AP547" s="86"/>
      <c r="AQ547" s="86"/>
      <c r="AR547" s="86"/>
      <c r="AS547" s="86"/>
      <c r="AT547" s="86"/>
      <c r="AU547" s="86"/>
      <c r="AV547" s="86"/>
      <c r="AW547" s="86"/>
      <c r="AX547" s="86"/>
      <c r="AY547" s="86"/>
      <c r="AZ547" s="86"/>
      <c r="BA547" s="86"/>
      <c r="BB547" s="86"/>
      <c r="BC547" s="86"/>
      <c r="BD547" s="86"/>
      <c r="BE547" s="86"/>
      <c r="BF547" s="86"/>
      <c r="BG547" s="86"/>
      <c r="BH547" s="86"/>
      <c r="BI547" s="86"/>
      <c r="BJ547" s="78"/>
      <c r="BK547" s="78"/>
      <c r="BL547" s="78"/>
      <c r="BM547" s="78"/>
      <c r="BN547" s="78"/>
      <c r="BO547" s="78"/>
      <c r="BP547" s="78"/>
      <c r="BQ547" s="78"/>
      <c r="BR547" s="78"/>
      <c r="BS547" s="78"/>
      <c r="BT547" s="78"/>
      <c r="BU547" s="78"/>
      <c r="BV547" s="89"/>
      <c r="BW547" s="86"/>
      <c r="BX547" s="86"/>
      <c r="BY547" s="86"/>
      <c r="BZ547" s="86"/>
      <c r="CA547" s="86"/>
      <c r="CB547" s="86"/>
      <c r="CC547" s="86"/>
      <c r="CD547" s="86"/>
      <c r="CE547" s="86"/>
      <c r="CF547" s="88"/>
    </row>
    <row r="548" spans="1:84" ht="15.75" x14ac:dyDescent="0.25">
      <c r="A548" s="99" t="s">
        <v>764</v>
      </c>
      <c r="B548" s="13">
        <v>13</v>
      </c>
      <c r="C548" s="101"/>
      <c r="D548" s="37" t="s">
        <v>765</v>
      </c>
      <c r="E548" s="150"/>
      <c r="F548" s="124" t="s">
        <v>13</v>
      </c>
      <c r="G548" s="124" t="s">
        <v>13</v>
      </c>
      <c r="H548" s="129" t="s">
        <v>353</v>
      </c>
      <c r="I548" s="105"/>
      <c r="J548" s="124" t="s">
        <v>79</v>
      </c>
      <c r="K548" s="18">
        <v>46249</v>
      </c>
      <c r="L548" s="18">
        <v>46522</v>
      </c>
      <c r="M548" s="76"/>
      <c r="N548" s="77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104"/>
      <c r="AN548" s="104"/>
      <c r="AO548" s="104"/>
      <c r="AP548" s="104"/>
      <c r="AQ548" s="104"/>
      <c r="AR548" s="104"/>
      <c r="AS548" s="104"/>
      <c r="AT548" s="104"/>
      <c r="AU548" s="104"/>
      <c r="AV548" s="104"/>
      <c r="AW548" s="104"/>
      <c r="AX548" s="104"/>
      <c r="AY548" s="104"/>
      <c r="AZ548" s="104"/>
      <c r="BA548" s="104"/>
      <c r="BB548" s="104"/>
      <c r="BC548" s="104"/>
      <c r="BD548" s="104"/>
      <c r="BE548" s="104"/>
      <c r="BF548" s="104"/>
      <c r="BG548" s="104"/>
      <c r="BH548" s="104"/>
      <c r="BI548" s="104"/>
      <c r="BJ548" s="104"/>
      <c r="BK548" s="104"/>
      <c r="BL548" s="104"/>
      <c r="BM548" s="104"/>
      <c r="BN548" s="104"/>
      <c r="BO548" s="104"/>
      <c r="BP548" s="104"/>
      <c r="BQ548" s="104"/>
      <c r="BR548" s="104"/>
      <c r="BS548" s="104"/>
      <c r="BT548" s="104"/>
      <c r="BU548" s="104"/>
      <c r="BV548" s="104"/>
      <c r="BW548" s="78"/>
      <c r="BX548" s="78"/>
      <c r="BY548" s="78"/>
      <c r="BZ548" s="78"/>
      <c r="CA548" s="78"/>
      <c r="CB548" s="78"/>
      <c r="CC548" s="78"/>
      <c r="CD548" s="78"/>
      <c r="CE548" s="78"/>
      <c r="CF548" s="80"/>
    </row>
    <row r="549" spans="1:84" ht="15.75" x14ac:dyDescent="0.25">
      <c r="A549" s="99" t="s">
        <v>764</v>
      </c>
      <c r="B549" s="100" t="s">
        <v>766</v>
      </c>
      <c r="C549" s="90"/>
      <c r="D549" s="15" t="s">
        <v>340</v>
      </c>
      <c r="E549" s="150"/>
      <c r="F549" s="124" t="s">
        <v>13</v>
      </c>
      <c r="G549" s="124" t="s">
        <v>13</v>
      </c>
      <c r="H549" s="126" t="s">
        <v>353</v>
      </c>
      <c r="I549" s="75"/>
      <c r="J549" s="125" t="s">
        <v>79</v>
      </c>
      <c r="K549" s="18">
        <v>46296</v>
      </c>
      <c r="L549" s="18">
        <v>46433</v>
      </c>
      <c r="M549" s="76"/>
      <c r="N549" s="77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93"/>
      <c r="AT549" s="93"/>
      <c r="AU549" s="93"/>
      <c r="AV549" s="93"/>
      <c r="AW549" s="93"/>
      <c r="AX549" s="93"/>
      <c r="AY549" s="93"/>
      <c r="AZ549" s="93"/>
      <c r="BA549" s="93"/>
      <c r="BB549" s="93"/>
      <c r="BC549" s="93"/>
      <c r="BD549" s="93"/>
      <c r="BE549" s="93"/>
      <c r="BF549" s="93"/>
      <c r="BG549" s="93"/>
      <c r="BH549" s="93"/>
      <c r="BI549" s="93"/>
      <c r="BJ549" s="78"/>
      <c r="BK549" s="78"/>
      <c r="BL549" s="78"/>
      <c r="BM549" s="78"/>
      <c r="BN549" s="78"/>
      <c r="BO549" s="78"/>
      <c r="BP549" s="78"/>
      <c r="BQ549" s="78"/>
      <c r="BR549" s="78"/>
      <c r="BS549" s="78"/>
      <c r="BT549" s="78"/>
      <c r="BU549" s="78"/>
      <c r="BV549" s="78"/>
      <c r="BW549" s="78"/>
      <c r="BX549" s="78"/>
      <c r="BY549" s="78"/>
      <c r="BZ549" s="78"/>
      <c r="CA549" s="78"/>
      <c r="CB549" s="78"/>
      <c r="CC549" s="78"/>
      <c r="CD549" s="78"/>
      <c r="CE549" s="78"/>
      <c r="CF549" s="80"/>
    </row>
    <row r="550" spans="1:84" ht="15.75" x14ac:dyDescent="0.25">
      <c r="A550" s="99" t="s">
        <v>764</v>
      </c>
      <c r="B550" s="100" t="s">
        <v>767</v>
      </c>
      <c r="C550" s="73"/>
      <c r="D550" s="108" t="s">
        <v>743</v>
      </c>
      <c r="E550" s="150"/>
      <c r="F550" s="124" t="s">
        <v>13</v>
      </c>
      <c r="G550" s="124" t="s">
        <v>13</v>
      </c>
      <c r="H550" s="126" t="s">
        <v>353</v>
      </c>
      <c r="I550" s="136">
        <v>0</v>
      </c>
      <c r="J550" s="125" t="s">
        <v>79</v>
      </c>
      <c r="K550" s="18">
        <v>46296</v>
      </c>
      <c r="L550" s="18">
        <v>46433</v>
      </c>
      <c r="M550" s="76"/>
      <c r="N550" s="77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92"/>
      <c r="AT550" s="92"/>
      <c r="AU550" s="92"/>
      <c r="AV550" s="92"/>
      <c r="AW550" s="92"/>
      <c r="AX550" s="92"/>
      <c r="AY550" s="92"/>
      <c r="AZ550" s="92"/>
      <c r="BA550" s="92"/>
      <c r="BB550" s="92"/>
      <c r="BC550" s="92"/>
      <c r="BD550" s="92"/>
      <c r="BE550" s="92"/>
      <c r="BF550" s="92"/>
      <c r="BG550" s="92"/>
      <c r="BH550" s="92"/>
      <c r="BI550" s="92"/>
      <c r="BJ550" s="78"/>
      <c r="BK550" s="78"/>
      <c r="BL550" s="78"/>
      <c r="BM550" s="78"/>
      <c r="BN550" s="78"/>
      <c r="BO550" s="78"/>
      <c r="BP550" s="78"/>
      <c r="BQ550" s="78"/>
      <c r="BR550" s="78"/>
      <c r="BS550" s="78"/>
      <c r="BT550" s="78"/>
      <c r="BU550" s="78"/>
      <c r="BV550" s="78"/>
      <c r="BW550" s="78"/>
      <c r="BX550" s="78"/>
      <c r="BY550" s="78"/>
      <c r="BZ550" s="78"/>
      <c r="CA550" s="78"/>
      <c r="CB550" s="78"/>
      <c r="CC550" s="78"/>
      <c r="CD550" s="78"/>
      <c r="CE550" s="78"/>
      <c r="CF550" s="80"/>
    </row>
    <row r="551" spans="1:84" ht="15.75" x14ac:dyDescent="0.25">
      <c r="A551" s="99" t="s">
        <v>764</v>
      </c>
      <c r="B551" s="100" t="s">
        <v>768</v>
      </c>
      <c r="C551" s="73"/>
      <c r="D551" s="108" t="s">
        <v>745</v>
      </c>
      <c r="E551" s="150"/>
      <c r="F551" s="124" t="s">
        <v>13</v>
      </c>
      <c r="G551" s="124" t="s">
        <v>13</v>
      </c>
      <c r="H551" s="126" t="s">
        <v>353</v>
      </c>
      <c r="I551" s="136">
        <v>0</v>
      </c>
      <c r="J551" s="125" t="s">
        <v>79</v>
      </c>
      <c r="K551" s="18">
        <v>46327</v>
      </c>
      <c r="L551" s="18">
        <v>46433</v>
      </c>
      <c r="M551" s="76"/>
      <c r="N551" s="77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92"/>
      <c r="AY551" s="92"/>
      <c r="AZ551" s="92"/>
      <c r="BA551" s="92"/>
      <c r="BB551" s="92"/>
      <c r="BC551" s="92"/>
      <c r="BD551" s="92"/>
      <c r="BE551" s="92"/>
      <c r="BF551" s="92"/>
      <c r="BG551" s="92"/>
      <c r="BH551" s="92"/>
      <c r="BI551" s="92"/>
      <c r="BJ551" s="78"/>
      <c r="BK551" s="78"/>
      <c r="BL551" s="78"/>
      <c r="BM551" s="78"/>
      <c r="BN551" s="78"/>
      <c r="BO551" s="78"/>
      <c r="BP551" s="78"/>
      <c r="BQ551" s="78"/>
      <c r="BR551" s="78"/>
      <c r="BS551" s="78"/>
      <c r="BT551" s="78"/>
      <c r="BU551" s="78"/>
      <c r="BV551" s="78"/>
      <c r="BW551" s="78"/>
      <c r="BX551" s="78"/>
      <c r="BY551" s="78"/>
      <c r="BZ551" s="78"/>
      <c r="CA551" s="78"/>
      <c r="CB551" s="78"/>
      <c r="CC551" s="78"/>
      <c r="CD551" s="78"/>
      <c r="CE551" s="78"/>
      <c r="CF551" s="80"/>
    </row>
    <row r="552" spans="1:84" ht="15.75" x14ac:dyDescent="0.25">
      <c r="A552" s="99" t="s">
        <v>764</v>
      </c>
      <c r="B552" s="100" t="s">
        <v>769</v>
      </c>
      <c r="C552" s="90"/>
      <c r="D552" s="15" t="s">
        <v>352</v>
      </c>
      <c r="E552" s="150"/>
      <c r="F552" s="124" t="s">
        <v>13</v>
      </c>
      <c r="G552" s="124" t="s">
        <v>13</v>
      </c>
      <c r="H552" s="126" t="s">
        <v>353</v>
      </c>
      <c r="I552" s="75"/>
      <c r="J552" s="125" t="s">
        <v>79</v>
      </c>
      <c r="K552" s="18">
        <v>46419</v>
      </c>
      <c r="L552" s="18">
        <v>46461</v>
      </c>
      <c r="M552" s="76"/>
      <c r="N552" s="77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  <c r="AY552" s="78"/>
      <c r="AZ552" s="78"/>
      <c r="BA552" s="78"/>
      <c r="BB552" s="78"/>
      <c r="BC552" s="78"/>
      <c r="BD552" s="78"/>
      <c r="BE552" s="78"/>
      <c r="BF552" s="78"/>
      <c r="BG552" s="78"/>
      <c r="BH552" s="78"/>
      <c r="BI552" s="78"/>
      <c r="BJ552" s="93"/>
      <c r="BK552" s="93"/>
      <c r="BL552" s="93"/>
      <c r="BM552" s="93"/>
      <c r="BN552" s="78"/>
      <c r="BO552" s="78"/>
      <c r="BP552" s="78"/>
      <c r="BQ552" s="78"/>
      <c r="BR552" s="78"/>
      <c r="BS552" s="78"/>
      <c r="BT552" s="78"/>
      <c r="BU552" s="78"/>
      <c r="BV552" s="78"/>
      <c r="BW552" s="78"/>
      <c r="BX552" s="78"/>
      <c r="BY552" s="78"/>
      <c r="BZ552" s="78"/>
      <c r="CA552" s="78"/>
      <c r="CB552" s="78"/>
      <c r="CC552" s="78"/>
      <c r="CD552" s="78"/>
      <c r="CE552" s="78"/>
      <c r="CF552" s="80"/>
    </row>
    <row r="553" spans="1:84" ht="15.75" x14ac:dyDescent="0.25">
      <c r="A553" s="99" t="s">
        <v>764</v>
      </c>
      <c r="B553" s="100" t="s">
        <v>770</v>
      </c>
      <c r="C553" s="73"/>
      <c r="D553" s="108" t="s">
        <v>612</v>
      </c>
      <c r="E553" s="150"/>
      <c r="F553" s="124" t="s">
        <v>13</v>
      </c>
      <c r="G553" s="124" t="s">
        <v>13</v>
      </c>
      <c r="H553" s="126" t="s">
        <v>353</v>
      </c>
      <c r="I553" s="136">
        <v>0</v>
      </c>
      <c r="J553" s="125" t="s">
        <v>79</v>
      </c>
      <c r="K553" s="18">
        <v>46419</v>
      </c>
      <c r="L553" s="18">
        <v>46461</v>
      </c>
      <c r="M553" s="76"/>
      <c r="N553" s="77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  <c r="AY553" s="78"/>
      <c r="AZ553" s="78"/>
      <c r="BA553" s="78"/>
      <c r="BB553" s="78"/>
      <c r="BC553" s="78"/>
      <c r="BD553" s="78"/>
      <c r="BE553" s="78"/>
      <c r="BF553" s="78"/>
      <c r="BG553" s="78"/>
      <c r="BH553" s="78"/>
      <c r="BI553" s="78"/>
      <c r="BJ553" s="92"/>
      <c r="BK553" s="92"/>
      <c r="BL553" s="92"/>
      <c r="BM553" s="92"/>
      <c r="BN553" s="78"/>
      <c r="BO553" s="78"/>
      <c r="BP553" s="78"/>
      <c r="BQ553" s="78"/>
      <c r="BR553" s="78"/>
      <c r="BS553" s="78"/>
      <c r="BT553" s="78"/>
      <c r="BU553" s="78"/>
      <c r="BV553" s="78"/>
      <c r="BW553" s="78"/>
      <c r="BX553" s="78"/>
      <c r="BY553" s="78"/>
      <c r="BZ553" s="78"/>
      <c r="CA553" s="78"/>
      <c r="CB553" s="78"/>
      <c r="CC553" s="78"/>
      <c r="CD553" s="78"/>
      <c r="CE553" s="78"/>
      <c r="CF553" s="80"/>
    </row>
    <row r="554" spans="1:84" ht="15.75" x14ac:dyDescent="0.25">
      <c r="A554" s="99" t="s">
        <v>764</v>
      </c>
      <c r="B554" s="100" t="s">
        <v>771</v>
      </c>
      <c r="C554" s="73"/>
      <c r="D554" s="108" t="s">
        <v>614</v>
      </c>
      <c r="E554" s="150"/>
      <c r="F554" s="124" t="s">
        <v>13</v>
      </c>
      <c r="G554" s="124" t="s">
        <v>13</v>
      </c>
      <c r="H554" s="126" t="s">
        <v>353</v>
      </c>
      <c r="I554" s="136">
        <v>0</v>
      </c>
      <c r="J554" s="125" t="s">
        <v>79</v>
      </c>
      <c r="K554" s="18">
        <v>46419</v>
      </c>
      <c r="L554" s="18">
        <v>46446</v>
      </c>
      <c r="M554" s="76"/>
      <c r="N554" s="77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  <c r="AY554" s="78"/>
      <c r="AZ554" s="78"/>
      <c r="BA554" s="78"/>
      <c r="BB554" s="78"/>
      <c r="BC554" s="78"/>
      <c r="BD554" s="78"/>
      <c r="BE554" s="78"/>
      <c r="BF554" s="78"/>
      <c r="BG554" s="78"/>
      <c r="BH554" s="78"/>
      <c r="BI554" s="78"/>
      <c r="BJ554" s="92"/>
      <c r="BK554" s="92"/>
      <c r="BL554" s="78"/>
      <c r="BM554" s="78"/>
      <c r="BN554" s="78"/>
      <c r="BO554" s="78"/>
      <c r="BP554" s="78"/>
      <c r="BQ554" s="78"/>
      <c r="BR554" s="78"/>
      <c r="BS554" s="78"/>
      <c r="BT554" s="78"/>
      <c r="BU554" s="78"/>
      <c r="BV554" s="78"/>
      <c r="BW554" s="78"/>
      <c r="BX554" s="78"/>
      <c r="BY554" s="78"/>
      <c r="BZ554" s="78"/>
      <c r="CA554" s="78"/>
      <c r="CB554" s="78"/>
      <c r="CC554" s="78"/>
      <c r="CD554" s="78"/>
      <c r="CE554" s="78"/>
      <c r="CF554" s="80"/>
    </row>
    <row r="555" spans="1:84" ht="15.75" x14ac:dyDescent="0.25">
      <c r="A555" s="99" t="s">
        <v>764</v>
      </c>
      <c r="B555" s="100" t="s">
        <v>772</v>
      </c>
      <c r="C555" s="73"/>
      <c r="D555" s="108" t="s">
        <v>362</v>
      </c>
      <c r="E555" s="150"/>
      <c r="F555" s="124" t="s">
        <v>13</v>
      </c>
      <c r="G555" s="124" t="s">
        <v>13</v>
      </c>
      <c r="H555" s="126" t="s">
        <v>353</v>
      </c>
      <c r="I555" s="136">
        <v>0</v>
      </c>
      <c r="J555" s="125" t="s">
        <v>79</v>
      </c>
      <c r="K555" s="18">
        <v>46433</v>
      </c>
      <c r="L555" s="18">
        <v>46461</v>
      </c>
      <c r="M555" s="76"/>
      <c r="N555" s="77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  <c r="AY555" s="78"/>
      <c r="AZ555" s="78"/>
      <c r="BA555" s="78"/>
      <c r="BB555" s="78"/>
      <c r="BC555" s="78"/>
      <c r="BD555" s="78"/>
      <c r="BE555" s="78"/>
      <c r="BF555" s="78"/>
      <c r="BG555" s="78"/>
      <c r="BH555" s="78"/>
      <c r="BI555" s="78"/>
      <c r="BJ555" s="78"/>
      <c r="BK555" s="78"/>
      <c r="BL555" s="79"/>
      <c r="BM555" s="79"/>
      <c r="BN555" s="78"/>
      <c r="BO555" s="78"/>
      <c r="BP555" s="78"/>
      <c r="BQ555" s="78"/>
      <c r="BR555" s="78"/>
      <c r="BS555" s="78"/>
      <c r="BT555" s="78"/>
      <c r="BU555" s="78"/>
      <c r="BV555" s="78"/>
      <c r="BW555" s="78"/>
      <c r="BX555" s="78"/>
      <c r="BY555" s="78"/>
      <c r="BZ555" s="78"/>
      <c r="CA555" s="78"/>
      <c r="CB555" s="78"/>
      <c r="CC555" s="78"/>
      <c r="CD555" s="78"/>
      <c r="CE555" s="78"/>
      <c r="CF555" s="80"/>
    </row>
    <row r="556" spans="1:84" ht="15.75" x14ac:dyDescent="0.25">
      <c r="A556" s="99" t="s">
        <v>764</v>
      </c>
      <c r="B556" s="100" t="s">
        <v>773</v>
      </c>
      <c r="C556" s="90"/>
      <c r="D556" s="15" t="s">
        <v>364</v>
      </c>
      <c r="E556" s="150"/>
      <c r="F556" s="124" t="s">
        <v>13</v>
      </c>
      <c r="G556" s="124" t="s">
        <v>13</v>
      </c>
      <c r="H556" s="126" t="s">
        <v>353</v>
      </c>
      <c r="I556" s="75"/>
      <c r="J556" s="125" t="s">
        <v>79</v>
      </c>
      <c r="K556" s="18">
        <v>46447</v>
      </c>
      <c r="L556" s="18">
        <v>46492</v>
      </c>
      <c r="M556" s="76"/>
      <c r="N556" s="77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  <c r="AY556" s="78"/>
      <c r="AZ556" s="78"/>
      <c r="BA556" s="78"/>
      <c r="BB556" s="78"/>
      <c r="BC556" s="78"/>
      <c r="BD556" s="78"/>
      <c r="BE556" s="78"/>
      <c r="BF556" s="78"/>
      <c r="BG556" s="78"/>
      <c r="BH556" s="78"/>
      <c r="BI556" s="78"/>
      <c r="BJ556" s="78"/>
      <c r="BK556" s="78"/>
      <c r="BL556" s="78"/>
      <c r="BM556" s="78"/>
      <c r="BN556" s="93"/>
      <c r="BO556" s="93"/>
      <c r="BP556" s="93"/>
      <c r="BQ556" s="93"/>
      <c r="BR556" s="93"/>
      <c r="BS556" s="78"/>
      <c r="BT556" s="78"/>
      <c r="BU556" s="78"/>
      <c r="BV556" s="78"/>
      <c r="BW556" s="78"/>
      <c r="BX556" s="78"/>
      <c r="BY556" s="78"/>
      <c r="BZ556" s="78"/>
      <c r="CA556" s="78"/>
      <c r="CB556" s="78"/>
      <c r="CC556" s="78"/>
      <c r="CD556" s="78"/>
      <c r="CE556" s="78"/>
      <c r="CF556" s="80"/>
    </row>
    <row r="557" spans="1:84" ht="15.75" x14ac:dyDescent="0.25">
      <c r="A557" s="99" t="s">
        <v>764</v>
      </c>
      <c r="B557" s="100" t="s">
        <v>774</v>
      </c>
      <c r="C557" s="73"/>
      <c r="D557" s="108" t="s">
        <v>618</v>
      </c>
      <c r="E557" s="150"/>
      <c r="F557" s="124" t="s">
        <v>13</v>
      </c>
      <c r="G557" s="124" t="s">
        <v>13</v>
      </c>
      <c r="H557" s="126" t="s">
        <v>353</v>
      </c>
      <c r="I557" s="136">
        <v>0</v>
      </c>
      <c r="J557" s="125" t="s">
        <v>79</v>
      </c>
      <c r="K557" s="18">
        <v>46447</v>
      </c>
      <c r="L557" s="18">
        <v>46492</v>
      </c>
      <c r="M557" s="76"/>
      <c r="N557" s="77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  <c r="AY557" s="78"/>
      <c r="AZ557" s="78"/>
      <c r="BA557" s="78"/>
      <c r="BB557" s="78"/>
      <c r="BC557" s="78"/>
      <c r="BD557" s="78"/>
      <c r="BE557" s="78"/>
      <c r="BF557" s="78"/>
      <c r="BG557" s="78"/>
      <c r="BH557" s="78"/>
      <c r="BI557" s="78"/>
      <c r="BJ557" s="78"/>
      <c r="BK557" s="78"/>
      <c r="BL557" s="78"/>
      <c r="BM557" s="78"/>
      <c r="BN557" s="92"/>
      <c r="BO557" s="92"/>
      <c r="BP557" s="92"/>
      <c r="BQ557" s="92"/>
      <c r="BR557" s="92"/>
      <c r="BS557" s="78"/>
      <c r="BT557" s="78"/>
      <c r="BU557" s="78"/>
      <c r="BV557" s="78"/>
      <c r="BW557" s="78"/>
      <c r="BX557" s="78"/>
      <c r="BY557" s="78"/>
      <c r="BZ557" s="78"/>
      <c r="CA557" s="78"/>
      <c r="CB557" s="78"/>
      <c r="CC557" s="78"/>
      <c r="CD557" s="78"/>
      <c r="CE557" s="78"/>
      <c r="CF557" s="80"/>
    </row>
    <row r="558" spans="1:84" ht="15.75" x14ac:dyDescent="0.25">
      <c r="A558" s="99" t="s">
        <v>764</v>
      </c>
      <c r="B558" s="100" t="s">
        <v>775</v>
      </c>
      <c r="C558" s="73"/>
      <c r="D558" s="108" t="s">
        <v>620</v>
      </c>
      <c r="E558" s="150"/>
      <c r="F558" s="124" t="s">
        <v>13</v>
      </c>
      <c r="G558" s="124" t="s">
        <v>13</v>
      </c>
      <c r="H558" s="126" t="s">
        <v>353</v>
      </c>
      <c r="I558" s="136">
        <v>0</v>
      </c>
      <c r="J558" s="125" t="s">
        <v>79</v>
      </c>
      <c r="K558" s="18">
        <v>46478</v>
      </c>
      <c r="L558" s="18">
        <v>46492</v>
      </c>
      <c r="M558" s="76"/>
      <c r="N558" s="77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  <c r="AY558" s="78"/>
      <c r="AZ558" s="78"/>
      <c r="BA558" s="78"/>
      <c r="BB558" s="78"/>
      <c r="BC558" s="78"/>
      <c r="BD558" s="78"/>
      <c r="BE558" s="78"/>
      <c r="BF558" s="78"/>
      <c r="BG558" s="78"/>
      <c r="BH558" s="78"/>
      <c r="BI558" s="78"/>
      <c r="BJ558" s="78"/>
      <c r="BK558" s="78"/>
      <c r="BL558" s="78"/>
      <c r="BM558" s="78"/>
      <c r="BN558" s="78"/>
      <c r="BO558" s="78"/>
      <c r="BP558" s="78"/>
      <c r="BQ558" s="92"/>
      <c r="BR558" s="92"/>
      <c r="BS558" s="78"/>
      <c r="BT558" s="78"/>
      <c r="BU558" s="78"/>
      <c r="BV558" s="78"/>
      <c r="BW558" s="78"/>
      <c r="BX558" s="78"/>
      <c r="BY558" s="78"/>
      <c r="BZ558" s="78"/>
      <c r="CA558" s="78"/>
      <c r="CB558" s="78"/>
      <c r="CC558" s="78"/>
      <c r="CD558" s="78"/>
      <c r="CE558" s="78"/>
      <c r="CF558" s="80"/>
    </row>
    <row r="559" spans="1:84" ht="15.75" x14ac:dyDescent="0.25">
      <c r="A559" s="99" t="s">
        <v>764</v>
      </c>
      <c r="B559" s="100" t="s">
        <v>776</v>
      </c>
      <c r="C559" s="73"/>
      <c r="D559" s="108" t="s">
        <v>622</v>
      </c>
      <c r="E559" s="150"/>
      <c r="F559" s="124" t="s">
        <v>13</v>
      </c>
      <c r="G559" s="124" t="s">
        <v>13</v>
      </c>
      <c r="H559" s="126" t="s">
        <v>353</v>
      </c>
      <c r="I559" s="136">
        <v>0</v>
      </c>
      <c r="J559" s="125" t="s">
        <v>79</v>
      </c>
      <c r="K559" s="18">
        <v>46478</v>
      </c>
      <c r="L559" s="18">
        <v>46492</v>
      </c>
      <c r="M559" s="76"/>
      <c r="N559" s="77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  <c r="AY559" s="78"/>
      <c r="AZ559" s="78"/>
      <c r="BA559" s="78"/>
      <c r="BB559" s="78"/>
      <c r="BC559" s="78"/>
      <c r="BD559" s="78"/>
      <c r="BE559" s="78"/>
      <c r="BF559" s="78"/>
      <c r="BG559" s="78"/>
      <c r="BH559" s="78"/>
      <c r="BI559" s="78"/>
      <c r="BJ559" s="78"/>
      <c r="BK559" s="78"/>
      <c r="BL559" s="78"/>
      <c r="BM559" s="78"/>
      <c r="BN559" s="78"/>
      <c r="BO559" s="78"/>
      <c r="BP559" s="78"/>
      <c r="BQ559" s="92"/>
      <c r="BR559" s="92"/>
      <c r="BS559" s="78"/>
      <c r="BT559" s="78"/>
      <c r="BU559" s="78"/>
      <c r="BV559" s="78"/>
      <c r="BW559" s="78"/>
      <c r="BX559" s="78"/>
      <c r="BY559" s="78"/>
      <c r="BZ559" s="78"/>
      <c r="CA559" s="78"/>
      <c r="CB559" s="78"/>
      <c r="CC559" s="78"/>
      <c r="CD559" s="78"/>
      <c r="CE559" s="78"/>
      <c r="CF559" s="80"/>
    </row>
    <row r="560" spans="1:84" ht="15.75" x14ac:dyDescent="0.25">
      <c r="A560" s="99" t="s">
        <v>764</v>
      </c>
      <c r="B560" s="100" t="s">
        <v>777</v>
      </c>
      <c r="C560" s="73"/>
      <c r="D560" s="108" t="s">
        <v>373</v>
      </c>
      <c r="E560" s="150"/>
      <c r="F560" s="124" t="s">
        <v>13</v>
      </c>
      <c r="G560" s="124" t="s">
        <v>13</v>
      </c>
      <c r="H560" s="126" t="s">
        <v>353</v>
      </c>
      <c r="I560" s="136">
        <v>0</v>
      </c>
      <c r="J560" s="125" t="s">
        <v>79</v>
      </c>
      <c r="K560" s="18">
        <v>46478</v>
      </c>
      <c r="L560" s="18">
        <v>46492</v>
      </c>
      <c r="M560" s="76"/>
      <c r="N560" s="77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  <c r="AY560" s="78"/>
      <c r="AZ560" s="78"/>
      <c r="BA560" s="78"/>
      <c r="BB560" s="78"/>
      <c r="BC560" s="78"/>
      <c r="BD560" s="78"/>
      <c r="BE560" s="78"/>
      <c r="BF560" s="78"/>
      <c r="BG560" s="78"/>
      <c r="BH560" s="78"/>
      <c r="BI560" s="78"/>
      <c r="BJ560" s="78"/>
      <c r="BK560" s="78"/>
      <c r="BL560" s="78"/>
      <c r="BM560" s="78"/>
      <c r="BN560" s="78"/>
      <c r="BO560" s="78"/>
      <c r="BP560" s="78"/>
      <c r="BQ560" s="79"/>
      <c r="BR560" s="79"/>
      <c r="BS560" s="78"/>
      <c r="BT560" s="78"/>
      <c r="BU560" s="78"/>
      <c r="BV560" s="78"/>
      <c r="BW560" s="78"/>
      <c r="BX560" s="78"/>
      <c r="BY560" s="78"/>
      <c r="BZ560" s="78"/>
      <c r="CA560" s="78"/>
      <c r="CB560" s="78"/>
      <c r="CC560" s="78"/>
      <c r="CD560" s="78"/>
      <c r="CE560" s="78"/>
      <c r="CF560" s="80"/>
    </row>
    <row r="561" spans="1:84" ht="15.75" x14ac:dyDescent="0.25">
      <c r="A561" s="99" t="s">
        <v>764</v>
      </c>
      <c r="B561" s="100" t="s">
        <v>778</v>
      </c>
      <c r="C561" s="90"/>
      <c r="D561" s="15" t="s">
        <v>375</v>
      </c>
      <c r="E561" s="150"/>
      <c r="F561" s="124" t="s">
        <v>13</v>
      </c>
      <c r="G561" s="124" t="s">
        <v>13</v>
      </c>
      <c r="H561" s="126" t="s">
        <v>353</v>
      </c>
      <c r="I561" s="136">
        <v>0</v>
      </c>
      <c r="J561" s="125" t="s">
        <v>79</v>
      </c>
      <c r="K561" s="18">
        <v>46492</v>
      </c>
      <c r="L561" s="18">
        <v>46522</v>
      </c>
      <c r="M561" s="76"/>
      <c r="N561" s="77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  <c r="AY561" s="78"/>
      <c r="AZ561" s="78"/>
      <c r="BA561" s="78"/>
      <c r="BB561" s="78"/>
      <c r="BC561" s="78"/>
      <c r="BD561" s="78"/>
      <c r="BE561" s="78"/>
      <c r="BF561" s="78"/>
      <c r="BG561" s="78"/>
      <c r="BH561" s="78"/>
      <c r="BI561" s="78"/>
      <c r="BJ561" s="78"/>
      <c r="BK561" s="78"/>
      <c r="BL561" s="78"/>
      <c r="BM561" s="78"/>
      <c r="BN561" s="78"/>
      <c r="BO561" s="78"/>
      <c r="BP561" s="78"/>
      <c r="BQ561" s="78"/>
      <c r="BR561" s="78"/>
      <c r="BS561" s="93"/>
      <c r="BT561" s="93"/>
      <c r="BU561" s="93"/>
      <c r="BV561" s="93"/>
      <c r="BW561" s="78"/>
      <c r="BX561" s="78"/>
      <c r="BY561" s="78"/>
      <c r="BZ561" s="78"/>
      <c r="CA561" s="78"/>
      <c r="CB561" s="78"/>
      <c r="CC561" s="78"/>
      <c r="CD561" s="78"/>
      <c r="CE561" s="78"/>
      <c r="CF561" s="80"/>
    </row>
    <row r="562" spans="1:84" ht="15.75" x14ac:dyDescent="0.25">
      <c r="A562" s="99" t="s">
        <v>764</v>
      </c>
      <c r="B562" s="100" t="s">
        <v>779</v>
      </c>
      <c r="C562" s="73"/>
      <c r="D562" s="108" t="s">
        <v>626</v>
      </c>
      <c r="E562" s="150"/>
      <c r="F562" s="124" t="s">
        <v>13</v>
      </c>
      <c r="G562" s="124" t="s">
        <v>13</v>
      </c>
      <c r="H562" s="126" t="s">
        <v>353</v>
      </c>
      <c r="I562" s="75"/>
      <c r="J562" s="125" t="s">
        <v>79</v>
      </c>
      <c r="K562" s="18">
        <v>46492</v>
      </c>
      <c r="L562" s="18">
        <v>46522</v>
      </c>
      <c r="M562" s="76"/>
      <c r="N562" s="77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  <c r="AY562" s="78"/>
      <c r="AZ562" s="78"/>
      <c r="BA562" s="78"/>
      <c r="BB562" s="78"/>
      <c r="BC562" s="78"/>
      <c r="BD562" s="78"/>
      <c r="BE562" s="78"/>
      <c r="BF562" s="78"/>
      <c r="BG562" s="78"/>
      <c r="BH562" s="78"/>
      <c r="BI562" s="78"/>
      <c r="BJ562" s="78"/>
      <c r="BK562" s="78"/>
      <c r="BL562" s="78"/>
      <c r="BM562" s="78"/>
      <c r="BN562" s="78"/>
      <c r="BO562" s="78"/>
      <c r="BP562" s="78"/>
      <c r="BQ562" s="78"/>
      <c r="BR562" s="78"/>
      <c r="BS562" s="92"/>
      <c r="BT562" s="92"/>
      <c r="BU562" s="92"/>
      <c r="BV562" s="92"/>
      <c r="BW562" s="78"/>
      <c r="BX562" s="78"/>
      <c r="BY562" s="78"/>
      <c r="BZ562" s="78"/>
      <c r="CA562" s="78"/>
      <c r="CB562" s="78"/>
      <c r="CC562" s="78"/>
      <c r="CD562" s="78"/>
      <c r="CE562" s="78"/>
      <c r="CF562" s="80"/>
    </row>
    <row r="563" spans="1:84" ht="15.75" x14ac:dyDescent="0.25">
      <c r="A563" s="99" t="s">
        <v>764</v>
      </c>
      <c r="B563" s="100" t="s">
        <v>780</v>
      </c>
      <c r="C563" s="73"/>
      <c r="D563" s="108" t="s">
        <v>628</v>
      </c>
      <c r="E563" s="150"/>
      <c r="F563" s="124" t="s">
        <v>13</v>
      </c>
      <c r="G563" s="124" t="s">
        <v>13</v>
      </c>
      <c r="H563" s="126" t="s">
        <v>353</v>
      </c>
      <c r="I563" s="136">
        <v>0</v>
      </c>
      <c r="J563" s="125" t="s">
        <v>79</v>
      </c>
      <c r="K563" s="18">
        <v>46508</v>
      </c>
      <c r="L563" s="18">
        <v>46522</v>
      </c>
      <c r="M563" s="76"/>
      <c r="N563" s="77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78"/>
      <c r="BH563" s="78"/>
      <c r="BI563" s="78"/>
      <c r="BJ563" s="78"/>
      <c r="BK563" s="78"/>
      <c r="BL563" s="78"/>
      <c r="BM563" s="78"/>
      <c r="BN563" s="78"/>
      <c r="BO563" s="78"/>
      <c r="BP563" s="78"/>
      <c r="BQ563" s="78"/>
      <c r="BR563" s="78"/>
      <c r="BS563" s="78"/>
      <c r="BT563" s="78"/>
      <c r="BU563" s="92"/>
      <c r="BV563" s="92"/>
      <c r="BW563" s="78"/>
      <c r="BX563" s="78"/>
      <c r="BY563" s="78"/>
      <c r="BZ563" s="78"/>
      <c r="CA563" s="78"/>
      <c r="CB563" s="78"/>
      <c r="CC563" s="78"/>
      <c r="CD563" s="78"/>
      <c r="CE563" s="78"/>
      <c r="CF563" s="80"/>
    </row>
    <row r="564" spans="1:84" ht="15.75" x14ac:dyDescent="0.25">
      <c r="A564" s="99" t="s">
        <v>764</v>
      </c>
      <c r="B564" s="100" t="s">
        <v>781</v>
      </c>
      <c r="C564" s="73"/>
      <c r="D564" s="108" t="s">
        <v>630</v>
      </c>
      <c r="E564" s="150"/>
      <c r="F564" s="124" t="s">
        <v>13</v>
      </c>
      <c r="G564" s="124" t="s">
        <v>13</v>
      </c>
      <c r="H564" s="126" t="s">
        <v>353</v>
      </c>
      <c r="I564" s="136">
        <v>0</v>
      </c>
      <c r="J564" s="125" t="s">
        <v>79</v>
      </c>
      <c r="K564" s="18">
        <v>46508</v>
      </c>
      <c r="L564" s="18">
        <v>46522</v>
      </c>
      <c r="M564" s="76"/>
      <c r="N564" s="77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86"/>
      <c r="AT564" s="86"/>
      <c r="AU564" s="86"/>
      <c r="AV564" s="86"/>
      <c r="AW564" s="86"/>
      <c r="AX564" s="86"/>
      <c r="AY564" s="86"/>
      <c r="AZ564" s="86"/>
      <c r="BA564" s="86"/>
      <c r="BB564" s="86"/>
      <c r="BC564" s="86"/>
      <c r="BD564" s="86"/>
      <c r="BE564" s="86"/>
      <c r="BF564" s="86"/>
      <c r="BG564" s="86"/>
      <c r="BH564" s="86"/>
      <c r="BI564" s="86"/>
      <c r="BJ564" s="78"/>
      <c r="BK564" s="78"/>
      <c r="BL564" s="78"/>
      <c r="BM564" s="78"/>
      <c r="BN564" s="78"/>
      <c r="BO564" s="78"/>
      <c r="BP564" s="78"/>
      <c r="BQ564" s="78"/>
      <c r="BR564" s="78"/>
      <c r="BS564" s="78"/>
      <c r="BT564" s="78"/>
      <c r="BU564" s="92"/>
      <c r="BV564" s="92"/>
      <c r="BW564" s="78"/>
      <c r="BX564" s="78"/>
      <c r="BY564" s="78"/>
      <c r="BZ564" s="78"/>
      <c r="CA564" s="78"/>
      <c r="CB564" s="78"/>
      <c r="CC564" s="78"/>
      <c r="CD564" s="78"/>
      <c r="CE564" s="78"/>
      <c r="CF564" s="80"/>
    </row>
    <row r="565" spans="1:84" ht="15.75" x14ac:dyDescent="0.25">
      <c r="A565" s="99" t="s">
        <v>764</v>
      </c>
      <c r="B565" s="100" t="s">
        <v>782</v>
      </c>
      <c r="C565" s="73"/>
      <c r="D565" s="108" t="s">
        <v>783</v>
      </c>
      <c r="E565" s="150"/>
      <c r="F565" s="124" t="s">
        <v>13</v>
      </c>
      <c r="G565" s="124" t="s">
        <v>13</v>
      </c>
      <c r="H565" s="126" t="s">
        <v>353</v>
      </c>
      <c r="I565" s="136">
        <v>0</v>
      </c>
      <c r="J565" s="125" t="s">
        <v>79</v>
      </c>
      <c r="K565" s="18">
        <v>46508</v>
      </c>
      <c r="L565" s="18">
        <v>46522</v>
      </c>
      <c r="M565" s="76"/>
      <c r="N565" s="77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  <c r="AY565" s="78"/>
      <c r="AZ565" s="78"/>
      <c r="BA565" s="78"/>
      <c r="BB565" s="78"/>
      <c r="BC565" s="78"/>
      <c r="BD565" s="78"/>
      <c r="BE565" s="78"/>
      <c r="BF565" s="78"/>
      <c r="BG565" s="78"/>
      <c r="BH565" s="78"/>
      <c r="BI565" s="78"/>
      <c r="BJ565" s="86"/>
      <c r="BK565" s="86"/>
      <c r="BL565" s="86"/>
      <c r="BM565" s="86"/>
      <c r="BN565" s="86"/>
      <c r="BO565" s="86"/>
      <c r="BP565" s="86"/>
      <c r="BQ565" s="86"/>
      <c r="BR565" s="86"/>
      <c r="BS565" s="86"/>
      <c r="BT565" s="86"/>
      <c r="BU565" s="87"/>
      <c r="BV565" s="87"/>
      <c r="BW565" s="78"/>
      <c r="BX565" s="78"/>
      <c r="BY565" s="78"/>
      <c r="BZ565" s="78"/>
      <c r="CA565" s="78"/>
      <c r="CB565" s="78"/>
      <c r="CC565" s="78"/>
      <c r="CD565" s="78"/>
      <c r="CE565" s="78"/>
      <c r="CF565" s="80"/>
    </row>
    <row r="566" spans="1:84" ht="31.5" x14ac:dyDescent="0.25">
      <c r="A566" s="99" t="s">
        <v>764</v>
      </c>
      <c r="B566" s="100" t="s">
        <v>784</v>
      </c>
      <c r="C566" s="84"/>
      <c r="D566" s="15" t="s">
        <v>385</v>
      </c>
      <c r="E566" s="150"/>
      <c r="F566" s="124" t="s">
        <v>310</v>
      </c>
      <c r="G566" s="124" t="s">
        <v>13</v>
      </c>
      <c r="H566" s="126" t="s">
        <v>353</v>
      </c>
      <c r="I566" s="136">
        <v>0</v>
      </c>
      <c r="J566" s="125" t="s">
        <v>79</v>
      </c>
      <c r="K566" s="18">
        <v>46508</v>
      </c>
      <c r="L566" s="18">
        <v>46522</v>
      </c>
      <c r="M566" s="76"/>
      <c r="N566" s="77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  <c r="AO566" s="86"/>
      <c r="AP566" s="86"/>
      <c r="AQ566" s="86"/>
      <c r="AR566" s="86"/>
      <c r="AS566" s="78"/>
      <c r="AT566" s="78"/>
      <c r="AU566" s="78"/>
      <c r="AV566" s="78"/>
      <c r="AW566" s="78"/>
      <c r="AX566" s="78"/>
      <c r="AY566" s="78"/>
      <c r="AZ566" s="78"/>
      <c r="BA566" s="78"/>
      <c r="BB566" s="78"/>
      <c r="BC566" s="78"/>
      <c r="BD566" s="78"/>
      <c r="BE566" s="78"/>
      <c r="BF566" s="78"/>
      <c r="BG566" s="78"/>
      <c r="BH566" s="78"/>
      <c r="BI566" s="78"/>
      <c r="BJ566" s="78"/>
      <c r="BK566" s="78"/>
      <c r="BL566" s="78"/>
      <c r="BM566" s="78"/>
      <c r="BN566" s="78"/>
      <c r="BO566" s="78"/>
      <c r="BP566" s="78"/>
      <c r="BQ566" s="78"/>
      <c r="BR566" s="78"/>
      <c r="BS566" s="78"/>
      <c r="BT566" s="78"/>
      <c r="BU566" s="87"/>
      <c r="BV566" s="87"/>
      <c r="BW566" s="86"/>
      <c r="BX566" s="86"/>
      <c r="BY566" s="86"/>
      <c r="BZ566" s="86"/>
      <c r="CA566" s="86"/>
      <c r="CB566" s="86"/>
      <c r="CC566" s="86"/>
      <c r="CD566" s="86"/>
      <c r="CE566" s="86"/>
      <c r="CF566" s="88"/>
    </row>
    <row r="567" spans="1:84" ht="15.75" x14ac:dyDescent="0.25">
      <c r="A567" s="99" t="s">
        <v>764</v>
      </c>
      <c r="B567" s="100" t="s">
        <v>785</v>
      </c>
      <c r="C567" s="84"/>
      <c r="D567" s="15" t="s">
        <v>387</v>
      </c>
      <c r="E567" s="150"/>
      <c r="F567" s="124" t="s">
        <v>274</v>
      </c>
      <c r="G567" s="124" t="s">
        <v>13</v>
      </c>
      <c r="H567" s="126" t="s">
        <v>353</v>
      </c>
      <c r="I567" s="136">
        <v>0</v>
      </c>
      <c r="J567" s="125" t="s">
        <v>79</v>
      </c>
      <c r="K567" s="18">
        <v>46508</v>
      </c>
      <c r="L567" s="18">
        <v>46522</v>
      </c>
      <c r="M567" s="76"/>
      <c r="N567" s="77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  <c r="AO567" s="86"/>
      <c r="AP567" s="86"/>
      <c r="AQ567" s="86"/>
      <c r="AR567" s="86"/>
      <c r="AS567" s="86"/>
      <c r="AT567" s="86"/>
      <c r="AU567" s="86"/>
      <c r="AV567" s="86"/>
      <c r="AW567" s="86"/>
      <c r="AX567" s="86"/>
      <c r="AY567" s="86"/>
      <c r="AZ567" s="86"/>
      <c r="BA567" s="86"/>
      <c r="BB567" s="86"/>
      <c r="BC567" s="86"/>
      <c r="BD567" s="86"/>
      <c r="BE567" s="86"/>
      <c r="BF567" s="86"/>
      <c r="BG567" s="86"/>
      <c r="BH567" s="86"/>
      <c r="BI567" s="86"/>
      <c r="BJ567" s="78"/>
      <c r="BK567" s="78"/>
      <c r="BL567" s="78"/>
      <c r="BM567" s="78"/>
      <c r="BN567" s="78"/>
      <c r="BO567" s="78"/>
      <c r="BP567" s="78"/>
      <c r="BQ567" s="78"/>
      <c r="BR567" s="78"/>
      <c r="BS567" s="78"/>
      <c r="BT567" s="78"/>
      <c r="BU567" s="87"/>
      <c r="BV567" s="87"/>
      <c r="BW567" s="86"/>
      <c r="BX567" s="86"/>
      <c r="BY567" s="86"/>
      <c r="BZ567" s="86"/>
      <c r="CA567" s="86"/>
      <c r="CB567" s="86"/>
      <c r="CC567" s="86"/>
      <c r="CD567" s="86"/>
      <c r="CE567" s="86"/>
      <c r="CF567" s="88"/>
    </row>
    <row r="568" spans="1:84" ht="47.25" x14ac:dyDescent="0.25">
      <c r="A568" s="99" t="s">
        <v>786</v>
      </c>
      <c r="B568" s="100" t="s">
        <v>787</v>
      </c>
      <c r="C568" s="84"/>
      <c r="D568" s="43" t="s">
        <v>788</v>
      </c>
      <c r="E568" s="150"/>
      <c r="F568" s="124" t="s">
        <v>13</v>
      </c>
      <c r="G568" s="124" t="s">
        <v>789</v>
      </c>
      <c r="H568" s="126" t="s">
        <v>353</v>
      </c>
      <c r="I568" s="136">
        <v>0</v>
      </c>
      <c r="J568" s="127" t="s">
        <v>79</v>
      </c>
      <c r="K568" s="18">
        <v>46508</v>
      </c>
      <c r="L568" s="18">
        <v>46522</v>
      </c>
      <c r="M568" s="76"/>
      <c r="N568" s="77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  <c r="AO568" s="86"/>
      <c r="AP568" s="86"/>
      <c r="AQ568" s="86"/>
      <c r="AR568" s="86"/>
      <c r="AS568" s="86"/>
      <c r="AT568" s="86"/>
      <c r="AU568" s="86"/>
      <c r="AV568" s="86"/>
      <c r="AW568" s="86"/>
      <c r="AX568" s="86"/>
      <c r="AY568" s="86"/>
      <c r="AZ568" s="86"/>
      <c r="BA568" s="86"/>
      <c r="BB568" s="86"/>
      <c r="BC568" s="86"/>
      <c r="BD568" s="86"/>
      <c r="BE568" s="86"/>
      <c r="BF568" s="86"/>
      <c r="BG568" s="86"/>
      <c r="BH568" s="86"/>
      <c r="BI568" s="86"/>
      <c r="BJ568" s="86"/>
      <c r="BK568" s="86"/>
      <c r="BL568" s="86"/>
      <c r="BM568" s="86"/>
      <c r="BN568" s="86"/>
      <c r="BO568" s="86"/>
      <c r="BP568" s="86"/>
      <c r="BQ568" s="86"/>
      <c r="BR568" s="86"/>
      <c r="BS568" s="86"/>
      <c r="BT568" s="86"/>
      <c r="BU568" s="86"/>
      <c r="BV568" s="89"/>
      <c r="BW568" s="86"/>
      <c r="BX568" s="86"/>
      <c r="BY568" s="86"/>
      <c r="BZ568" s="86"/>
      <c r="CA568" s="86"/>
      <c r="CB568" s="86"/>
      <c r="CC568" s="86"/>
      <c r="CD568" s="86"/>
      <c r="CE568" s="86"/>
      <c r="CF568" s="88"/>
    </row>
    <row r="569" spans="1:84" ht="15.75" x14ac:dyDescent="0.25">
      <c r="A569" s="99" t="s">
        <v>786</v>
      </c>
      <c r="B569" s="13">
        <v>14</v>
      </c>
      <c r="C569" s="101"/>
      <c r="D569" s="37" t="s">
        <v>790</v>
      </c>
      <c r="E569" s="150"/>
      <c r="F569" s="124" t="s">
        <v>13</v>
      </c>
      <c r="G569" s="124" t="s">
        <v>13</v>
      </c>
      <c r="H569" s="129" t="s">
        <v>353</v>
      </c>
      <c r="I569" s="105"/>
      <c r="J569" s="128" t="s">
        <v>79</v>
      </c>
      <c r="K569" s="18">
        <v>46249</v>
      </c>
      <c r="L569" s="18">
        <v>46522</v>
      </c>
      <c r="M569" s="76"/>
      <c r="N569" s="77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104"/>
      <c r="AN569" s="104"/>
      <c r="AO569" s="104"/>
      <c r="AP569" s="104"/>
      <c r="AQ569" s="104"/>
      <c r="AR569" s="104"/>
      <c r="AS569" s="104"/>
      <c r="AT569" s="104"/>
      <c r="AU569" s="104"/>
      <c r="AV569" s="104"/>
      <c r="AW569" s="104"/>
      <c r="AX569" s="104"/>
      <c r="AY569" s="104"/>
      <c r="AZ569" s="104"/>
      <c r="BA569" s="104"/>
      <c r="BB569" s="104"/>
      <c r="BC569" s="104"/>
      <c r="BD569" s="104"/>
      <c r="BE569" s="104"/>
      <c r="BF569" s="104"/>
      <c r="BG569" s="104"/>
      <c r="BH569" s="104"/>
      <c r="BI569" s="104"/>
      <c r="BJ569" s="104"/>
      <c r="BK569" s="104"/>
      <c r="BL569" s="104"/>
      <c r="BM569" s="104"/>
      <c r="BN569" s="104"/>
      <c r="BO569" s="104"/>
      <c r="BP569" s="104"/>
      <c r="BQ569" s="104"/>
      <c r="BR569" s="104"/>
      <c r="BS569" s="104"/>
      <c r="BT569" s="104"/>
      <c r="BU569" s="104"/>
      <c r="BV569" s="104"/>
      <c r="BW569" s="78"/>
      <c r="BX569" s="78"/>
      <c r="BY569" s="78"/>
      <c r="BZ569" s="78"/>
      <c r="CA569" s="78"/>
      <c r="CB569" s="78"/>
      <c r="CC569" s="78"/>
      <c r="CD569" s="78"/>
      <c r="CE569" s="78"/>
      <c r="CF569" s="80"/>
    </row>
    <row r="570" spans="1:84" ht="15.75" x14ac:dyDescent="0.25">
      <c r="A570" s="99" t="s">
        <v>786</v>
      </c>
      <c r="B570" s="100" t="s">
        <v>791</v>
      </c>
      <c r="C570" s="90"/>
      <c r="D570" s="15" t="s">
        <v>340</v>
      </c>
      <c r="E570" s="150"/>
      <c r="F570" s="124" t="s">
        <v>13</v>
      </c>
      <c r="G570" s="124" t="s">
        <v>13</v>
      </c>
      <c r="H570" s="126" t="s">
        <v>353</v>
      </c>
      <c r="I570" s="75"/>
      <c r="J570" s="127" t="s">
        <v>79</v>
      </c>
      <c r="K570" s="18">
        <v>46296</v>
      </c>
      <c r="L570" s="18">
        <v>46433</v>
      </c>
      <c r="M570" s="76"/>
      <c r="N570" s="77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93"/>
      <c r="AT570" s="93"/>
      <c r="AU570" s="93"/>
      <c r="AV570" s="93"/>
      <c r="AW570" s="93"/>
      <c r="AX570" s="93"/>
      <c r="AY570" s="93"/>
      <c r="AZ570" s="93"/>
      <c r="BA570" s="93"/>
      <c r="BB570" s="93"/>
      <c r="BC570" s="93"/>
      <c r="BD570" s="93"/>
      <c r="BE570" s="93"/>
      <c r="BF570" s="93"/>
      <c r="BG570" s="93"/>
      <c r="BH570" s="93"/>
      <c r="BI570" s="93"/>
      <c r="BJ570" s="78"/>
      <c r="BK570" s="78"/>
      <c r="BL570" s="78"/>
      <c r="BM570" s="78"/>
      <c r="BN570" s="78"/>
      <c r="BO570" s="78"/>
      <c r="BP570" s="78"/>
      <c r="BQ570" s="78"/>
      <c r="BR570" s="78"/>
      <c r="BS570" s="78"/>
      <c r="BT570" s="78"/>
      <c r="BU570" s="78"/>
      <c r="BV570" s="78"/>
      <c r="BW570" s="78"/>
      <c r="BX570" s="78"/>
      <c r="BY570" s="78"/>
      <c r="BZ570" s="78"/>
      <c r="CA570" s="78"/>
      <c r="CB570" s="78"/>
      <c r="CC570" s="78"/>
      <c r="CD570" s="78"/>
      <c r="CE570" s="78"/>
      <c r="CF570" s="80"/>
    </row>
    <row r="571" spans="1:84" ht="15.75" x14ac:dyDescent="0.25">
      <c r="A571" s="99" t="s">
        <v>786</v>
      </c>
      <c r="B571" s="100" t="s">
        <v>792</v>
      </c>
      <c r="C571" s="73"/>
      <c r="D571" s="108" t="s">
        <v>743</v>
      </c>
      <c r="E571" s="150"/>
      <c r="F571" s="124" t="s">
        <v>13</v>
      </c>
      <c r="G571" s="124" t="s">
        <v>13</v>
      </c>
      <c r="H571" s="126" t="s">
        <v>353</v>
      </c>
      <c r="I571" s="136">
        <v>0</v>
      </c>
      <c r="J571" s="127" t="s">
        <v>79</v>
      </c>
      <c r="K571" s="18">
        <v>46296</v>
      </c>
      <c r="L571" s="18">
        <v>46433</v>
      </c>
      <c r="M571" s="76"/>
      <c r="N571" s="77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92"/>
      <c r="AT571" s="92"/>
      <c r="AU571" s="92"/>
      <c r="AV571" s="92"/>
      <c r="AW571" s="92"/>
      <c r="AX571" s="92"/>
      <c r="AY571" s="92"/>
      <c r="AZ571" s="92"/>
      <c r="BA571" s="92"/>
      <c r="BB571" s="92"/>
      <c r="BC571" s="92"/>
      <c r="BD571" s="92"/>
      <c r="BE571" s="92"/>
      <c r="BF571" s="92"/>
      <c r="BG571" s="92"/>
      <c r="BH571" s="92"/>
      <c r="BI571" s="92"/>
      <c r="BJ571" s="78"/>
      <c r="BK571" s="78"/>
      <c r="BL571" s="78"/>
      <c r="BM571" s="78"/>
      <c r="BN571" s="78"/>
      <c r="BO571" s="78"/>
      <c r="BP571" s="78"/>
      <c r="BQ571" s="78"/>
      <c r="BR571" s="78"/>
      <c r="BS571" s="78"/>
      <c r="BT571" s="78"/>
      <c r="BU571" s="78"/>
      <c r="BV571" s="78"/>
      <c r="BW571" s="78"/>
      <c r="BX571" s="78"/>
      <c r="BY571" s="78"/>
      <c r="BZ571" s="78"/>
      <c r="CA571" s="78"/>
      <c r="CB571" s="78"/>
      <c r="CC571" s="78"/>
      <c r="CD571" s="78"/>
      <c r="CE571" s="78"/>
      <c r="CF571" s="80"/>
    </row>
    <row r="572" spans="1:84" ht="15.75" x14ac:dyDescent="0.25">
      <c r="A572" s="99" t="s">
        <v>786</v>
      </c>
      <c r="B572" s="100" t="s">
        <v>793</v>
      </c>
      <c r="C572" s="73"/>
      <c r="D572" s="108" t="s">
        <v>745</v>
      </c>
      <c r="E572" s="150"/>
      <c r="F572" s="124" t="s">
        <v>13</v>
      </c>
      <c r="G572" s="124" t="s">
        <v>13</v>
      </c>
      <c r="H572" s="126" t="s">
        <v>353</v>
      </c>
      <c r="I572" s="136">
        <v>0</v>
      </c>
      <c r="J572" s="127" t="s">
        <v>79</v>
      </c>
      <c r="K572" s="18">
        <v>46327</v>
      </c>
      <c r="L572" s="18">
        <v>46433</v>
      </c>
      <c r="M572" s="76"/>
      <c r="N572" s="77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92"/>
      <c r="AY572" s="92"/>
      <c r="AZ572" s="92"/>
      <c r="BA572" s="92"/>
      <c r="BB572" s="92"/>
      <c r="BC572" s="92"/>
      <c r="BD572" s="92"/>
      <c r="BE572" s="92"/>
      <c r="BF572" s="92"/>
      <c r="BG572" s="92"/>
      <c r="BH572" s="92"/>
      <c r="BI572" s="92"/>
      <c r="BJ572" s="78"/>
      <c r="BK572" s="78"/>
      <c r="BL572" s="78"/>
      <c r="BM572" s="78"/>
      <c r="BN572" s="78"/>
      <c r="BO572" s="78"/>
      <c r="BP572" s="78"/>
      <c r="BQ572" s="78"/>
      <c r="BR572" s="78"/>
      <c r="BS572" s="78"/>
      <c r="BT572" s="78"/>
      <c r="BU572" s="78"/>
      <c r="BV572" s="78"/>
      <c r="BW572" s="78"/>
      <c r="BX572" s="78"/>
      <c r="BY572" s="78"/>
      <c r="BZ572" s="78"/>
      <c r="CA572" s="78"/>
      <c r="CB572" s="78"/>
      <c r="CC572" s="78"/>
      <c r="CD572" s="78"/>
      <c r="CE572" s="78"/>
      <c r="CF572" s="80"/>
    </row>
    <row r="573" spans="1:84" ht="15.75" x14ac:dyDescent="0.25">
      <c r="A573" s="99" t="s">
        <v>786</v>
      </c>
      <c r="B573" s="100" t="s">
        <v>794</v>
      </c>
      <c r="C573" s="90"/>
      <c r="D573" s="15" t="s">
        <v>352</v>
      </c>
      <c r="E573" s="150"/>
      <c r="F573" s="124" t="s">
        <v>13</v>
      </c>
      <c r="G573" s="124" t="s">
        <v>13</v>
      </c>
      <c r="H573" s="126" t="s">
        <v>353</v>
      </c>
      <c r="I573" s="75"/>
      <c r="J573" s="127" t="s">
        <v>79</v>
      </c>
      <c r="K573" s="18">
        <v>46419</v>
      </c>
      <c r="L573" s="18">
        <v>46461</v>
      </c>
      <c r="M573" s="76"/>
      <c r="N573" s="77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  <c r="AY573" s="78"/>
      <c r="AZ573" s="78"/>
      <c r="BA573" s="78"/>
      <c r="BB573" s="78"/>
      <c r="BC573" s="78"/>
      <c r="BD573" s="78"/>
      <c r="BE573" s="78"/>
      <c r="BF573" s="78"/>
      <c r="BG573" s="78"/>
      <c r="BH573" s="78"/>
      <c r="BI573" s="78"/>
      <c r="BJ573" s="93"/>
      <c r="BK573" s="93"/>
      <c r="BL573" s="93"/>
      <c r="BM573" s="93"/>
      <c r="BN573" s="78"/>
      <c r="BO573" s="78"/>
      <c r="BP573" s="78"/>
      <c r="BQ573" s="78"/>
      <c r="BR573" s="78"/>
      <c r="BS573" s="78"/>
      <c r="BT573" s="78"/>
      <c r="BU573" s="78"/>
      <c r="BV573" s="78"/>
      <c r="BW573" s="78"/>
      <c r="BX573" s="78"/>
      <c r="BY573" s="78"/>
      <c r="BZ573" s="78"/>
      <c r="CA573" s="78"/>
      <c r="CB573" s="78"/>
      <c r="CC573" s="78"/>
      <c r="CD573" s="78"/>
      <c r="CE573" s="78"/>
      <c r="CF573" s="80"/>
    </row>
    <row r="574" spans="1:84" ht="15.75" x14ac:dyDescent="0.25">
      <c r="A574" s="99" t="s">
        <v>786</v>
      </c>
      <c r="B574" s="100" t="s">
        <v>795</v>
      </c>
      <c r="C574" s="73"/>
      <c r="D574" s="108" t="s">
        <v>612</v>
      </c>
      <c r="E574" s="150"/>
      <c r="F574" s="124" t="s">
        <v>13</v>
      </c>
      <c r="G574" s="124" t="s">
        <v>13</v>
      </c>
      <c r="H574" s="126" t="s">
        <v>353</v>
      </c>
      <c r="I574" s="136">
        <v>0</v>
      </c>
      <c r="J574" s="127" t="s">
        <v>79</v>
      </c>
      <c r="K574" s="18">
        <v>46419</v>
      </c>
      <c r="L574" s="18">
        <v>46461</v>
      </c>
      <c r="M574" s="76"/>
      <c r="N574" s="77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  <c r="AY574" s="78"/>
      <c r="AZ574" s="78"/>
      <c r="BA574" s="78"/>
      <c r="BB574" s="78"/>
      <c r="BC574" s="78"/>
      <c r="BD574" s="78"/>
      <c r="BE574" s="78"/>
      <c r="BF574" s="78"/>
      <c r="BG574" s="78"/>
      <c r="BH574" s="78"/>
      <c r="BI574" s="78"/>
      <c r="BJ574" s="92"/>
      <c r="BK574" s="92"/>
      <c r="BL574" s="92"/>
      <c r="BM574" s="92"/>
      <c r="BN574" s="78"/>
      <c r="BO574" s="78"/>
      <c r="BP574" s="78"/>
      <c r="BQ574" s="78"/>
      <c r="BR574" s="78"/>
      <c r="BS574" s="78"/>
      <c r="BT574" s="78"/>
      <c r="BU574" s="78"/>
      <c r="BV574" s="78"/>
      <c r="BW574" s="78"/>
      <c r="BX574" s="78"/>
      <c r="BY574" s="78"/>
      <c r="BZ574" s="78"/>
      <c r="CA574" s="78"/>
      <c r="CB574" s="78"/>
      <c r="CC574" s="78"/>
      <c r="CD574" s="78"/>
      <c r="CE574" s="78"/>
      <c r="CF574" s="80"/>
    </row>
    <row r="575" spans="1:84" ht="15.75" x14ac:dyDescent="0.25">
      <c r="A575" s="99" t="s">
        <v>786</v>
      </c>
      <c r="B575" s="100" t="s">
        <v>796</v>
      </c>
      <c r="C575" s="73"/>
      <c r="D575" s="108" t="s">
        <v>614</v>
      </c>
      <c r="E575" s="150"/>
      <c r="F575" s="124" t="s">
        <v>13</v>
      </c>
      <c r="G575" s="124" t="s">
        <v>13</v>
      </c>
      <c r="H575" s="126" t="s">
        <v>353</v>
      </c>
      <c r="I575" s="136">
        <v>0</v>
      </c>
      <c r="J575" s="127" t="s">
        <v>79</v>
      </c>
      <c r="K575" s="18">
        <v>46419</v>
      </c>
      <c r="L575" s="18">
        <v>46446</v>
      </c>
      <c r="M575" s="76"/>
      <c r="N575" s="77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  <c r="AY575" s="78"/>
      <c r="AZ575" s="78"/>
      <c r="BA575" s="78"/>
      <c r="BB575" s="78"/>
      <c r="BC575" s="78"/>
      <c r="BD575" s="78"/>
      <c r="BE575" s="78"/>
      <c r="BF575" s="78"/>
      <c r="BG575" s="78"/>
      <c r="BH575" s="78"/>
      <c r="BI575" s="78"/>
      <c r="BJ575" s="92"/>
      <c r="BK575" s="92"/>
      <c r="BL575" s="78"/>
      <c r="BM575" s="78"/>
      <c r="BN575" s="78"/>
      <c r="BO575" s="78"/>
      <c r="BP575" s="78"/>
      <c r="BQ575" s="78"/>
      <c r="BR575" s="78"/>
      <c r="BS575" s="78"/>
      <c r="BT575" s="78"/>
      <c r="BU575" s="78"/>
      <c r="BV575" s="78"/>
      <c r="BW575" s="78"/>
      <c r="BX575" s="78"/>
      <c r="BY575" s="78"/>
      <c r="BZ575" s="78"/>
      <c r="CA575" s="78"/>
      <c r="CB575" s="78"/>
      <c r="CC575" s="78"/>
      <c r="CD575" s="78"/>
      <c r="CE575" s="78"/>
      <c r="CF575" s="80"/>
    </row>
    <row r="576" spans="1:84" ht="15.75" x14ac:dyDescent="0.25">
      <c r="A576" s="99" t="s">
        <v>786</v>
      </c>
      <c r="B576" s="100" t="s">
        <v>797</v>
      </c>
      <c r="C576" s="73"/>
      <c r="D576" s="108" t="s">
        <v>362</v>
      </c>
      <c r="E576" s="150"/>
      <c r="F576" s="124" t="s">
        <v>13</v>
      </c>
      <c r="G576" s="124" t="s">
        <v>13</v>
      </c>
      <c r="H576" s="126" t="s">
        <v>353</v>
      </c>
      <c r="I576" s="136">
        <v>0</v>
      </c>
      <c r="J576" s="127" t="s">
        <v>79</v>
      </c>
      <c r="K576" s="18">
        <v>46433</v>
      </c>
      <c r="L576" s="18">
        <v>46461</v>
      </c>
      <c r="M576" s="76"/>
      <c r="N576" s="77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  <c r="AY576" s="78"/>
      <c r="AZ576" s="78"/>
      <c r="BA576" s="78"/>
      <c r="BB576" s="78"/>
      <c r="BC576" s="78"/>
      <c r="BD576" s="78"/>
      <c r="BE576" s="78"/>
      <c r="BF576" s="78"/>
      <c r="BG576" s="78"/>
      <c r="BH576" s="78"/>
      <c r="BI576" s="78"/>
      <c r="BJ576" s="78"/>
      <c r="BK576" s="78"/>
      <c r="BL576" s="79"/>
      <c r="BM576" s="79"/>
      <c r="BN576" s="78"/>
      <c r="BO576" s="78"/>
      <c r="BP576" s="78"/>
      <c r="BQ576" s="78"/>
      <c r="BR576" s="78"/>
      <c r="BS576" s="78"/>
      <c r="BT576" s="78"/>
      <c r="BU576" s="78"/>
      <c r="BV576" s="78"/>
      <c r="BW576" s="78"/>
      <c r="BX576" s="78"/>
      <c r="BY576" s="78"/>
      <c r="BZ576" s="78"/>
      <c r="CA576" s="78"/>
      <c r="CB576" s="78"/>
      <c r="CC576" s="78"/>
      <c r="CD576" s="78"/>
      <c r="CE576" s="78"/>
      <c r="CF576" s="80"/>
    </row>
    <row r="577" spans="1:84" ht="15.75" x14ac:dyDescent="0.25">
      <c r="A577" s="99" t="s">
        <v>786</v>
      </c>
      <c r="B577" s="100" t="s">
        <v>798</v>
      </c>
      <c r="C577" s="90"/>
      <c r="D577" s="15" t="s">
        <v>364</v>
      </c>
      <c r="E577" s="150"/>
      <c r="F577" s="124" t="s">
        <v>13</v>
      </c>
      <c r="G577" s="124" t="s">
        <v>13</v>
      </c>
      <c r="H577" s="126" t="s">
        <v>353</v>
      </c>
      <c r="I577" s="75"/>
      <c r="J577" s="127" t="s">
        <v>79</v>
      </c>
      <c r="K577" s="18">
        <v>46447</v>
      </c>
      <c r="L577" s="18">
        <v>46492</v>
      </c>
      <c r="M577" s="76"/>
      <c r="N577" s="77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  <c r="AY577" s="78"/>
      <c r="AZ577" s="78"/>
      <c r="BA577" s="78"/>
      <c r="BB577" s="78"/>
      <c r="BC577" s="78"/>
      <c r="BD577" s="78"/>
      <c r="BE577" s="78"/>
      <c r="BF577" s="78"/>
      <c r="BG577" s="78"/>
      <c r="BH577" s="78"/>
      <c r="BI577" s="78"/>
      <c r="BJ577" s="78"/>
      <c r="BK577" s="78"/>
      <c r="BL577" s="78"/>
      <c r="BM577" s="78"/>
      <c r="BN577" s="93"/>
      <c r="BO577" s="93"/>
      <c r="BP577" s="93"/>
      <c r="BQ577" s="93"/>
      <c r="BR577" s="93"/>
      <c r="BS577" s="78"/>
      <c r="BT577" s="78"/>
      <c r="BU577" s="78"/>
      <c r="BV577" s="78"/>
      <c r="BW577" s="78"/>
      <c r="BX577" s="78"/>
      <c r="BY577" s="78"/>
      <c r="BZ577" s="78"/>
      <c r="CA577" s="78"/>
      <c r="CB577" s="78"/>
      <c r="CC577" s="78"/>
      <c r="CD577" s="78"/>
      <c r="CE577" s="78"/>
      <c r="CF577" s="80"/>
    </row>
    <row r="578" spans="1:84" ht="15.75" x14ac:dyDescent="0.25">
      <c r="A578" s="99" t="s">
        <v>786</v>
      </c>
      <c r="B578" s="100" t="s">
        <v>799</v>
      </c>
      <c r="C578" s="73"/>
      <c r="D578" s="108" t="s">
        <v>618</v>
      </c>
      <c r="E578" s="150"/>
      <c r="F578" s="124" t="s">
        <v>13</v>
      </c>
      <c r="G578" s="124" t="s">
        <v>13</v>
      </c>
      <c r="H578" s="126" t="s">
        <v>353</v>
      </c>
      <c r="I578" s="136">
        <v>0</v>
      </c>
      <c r="J578" s="127" t="s">
        <v>79</v>
      </c>
      <c r="K578" s="18">
        <v>46447</v>
      </c>
      <c r="L578" s="18">
        <v>46492</v>
      </c>
      <c r="M578" s="76"/>
      <c r="N578" s="77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  <c r="AY578" s="78"/>
      <c r="AZ578" s="78"/>
      <c r="BA578" s="78"/>
      <c r="BB578" s="78"/>
      <c r="BC578" s="78"/>
      <c r="BD578" s="78"/>
      <c r="BE578" s="78"/>
      <c r="BF578" s="78"/>
      <c r="BG578" s="78"/>
      <c r="BH578" s="78"/>
      <c r="BI578" s="78"/>
      <c r="BJ578" s="78"/>
      <c r="BK578" s="78"/>
      <c r="BL578" s="78"/>
      <c r="BM578" s="78"/>
      <c r="BN578" s="92"/>
      <c r="BO578" s="92"/>
      <c r="BP578" s="92"/>
      <c r="BQ578" s="92"/>
      <c r="BR578" s="92"/>
      <c r="BS578" s="78"/>
      <c r="BT578" s="78"/>
      <c r="BU578" s="78"/>
      <c r="BV578" s="78"/>
      <c r="BW578" s="78"/>
      <c r="BX578" s="78"/>
      <c r="BY578" s="78"/>
      <c r="BZ578" s="78"/>
      <c r="CA578" s="78"/>
      <c r="CB578" s="78"/>
      <c r="CC578" s="78"/>
      <c r="CD578" s="78"/>
      <c r="CE578" s="78"/>
      <c r="CF578" s="80"/>
    </row>
    <row r="579" spans="1:84" ht="15.75" x14ac:dyDescent="0.25">
      <c r="A579" s="99" t="s">
        <v>786</v>
      </c>
      <c r="B579" s="100" t="s">
        <v>800</v>
      </c>
      <c r="C579" s="73"/>
      <c r="D579" s="108" t="s">
        <v>620</v>
      </c>
      <c r="E579" s="150"/>
      <c r="F579" s="124" t="s">
        <v>13</v>
      </c>
      <c r="G579" s="124" t="s">
        <v>13</v>
      </c>
      <c r="H579" s="126" t="s">
        <v>353</v>
      </c>
      <c r="I579" s="136">
        <v>0</v>
      </c>
      <c r="J579" s="127" t="s">
        <v>79</v>
      </c>
      <c r="K579" s="18">
        <v>46478</v>
      </c>
      <c r="L579" s="18">
        <v>46492</v>
      </c>
      <c r="M579" s="76"/>
      <c r="N579" s="77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  <c r="AY579" s="78"/>
      <c r="AZ579" s="78"/>
      <c r="BA579" s="78"/>
      <c r="BB579" s="78"/>
      <c r="BC579" s="78"/>
      <c r="BD579" s="78"/>
      <c r="BE579" s="78"/>
      <c r="BF579" s="78"/>
      <c r="BG579" s="78"/>
      <c r="BH579" s="78"/>
      <c r="BI579" s="78"/>
      <c r="BJ579" s="78"/>
      <c r="BK579" s="78"/>
      <c r="BL579" s="78"/>
      <c r="BM579" s="78"/>
      <c r="BN579" s="78"/>
      <c r="BO579" s="78"/>
      <c r="BP579" s="78"/>
      <c r="BQ579" s="92"/>
      <c r="BR579" s="92"/>
      <c r="BS579" s="78"/>
      <c r="BT579" s="78"/>
      <c r="BU579" s="78"/>
      <c r="BV579" s="78"/>
      <c r="BW579" s="78"/>
      <c r="BX579" s="78"/>
      <c r="BY579" s="78"/>
      <c r="BZ579" s="78"/>
      <c r="CA579" s="78"/>
      <c r="CB579" s="78"/>
      <c r="CC579" s="78"/>
      <c r="CD579" s="78"/>
      <c r="CE579" s="78"/>
      <c r="CF579" s="80"/>
    </row>
    <row r="580" spans="1:84" ht="15.75" x14ac:dyDescent="0.25">
      <c r="A580" s="99" t="s">
        <v>786</v>
      </c>
      <c r="B580" s="100" t="s">
        <v>801</v>
      </c>
      <c r="C580" s="73"/>
      <c r="D580" s="108" t="s">
        <v>622</v>
      </c>
      <c r="E580" s="150"/>
      <c r="F580" s="124" t="s">
        <v>13</v>
      </c>
      <c r="G580" s="124" t="s">
        <v>13</v>
      </c>
      <c r="H580" s="126" t="s">
        <v>353</v>
      </c>
      <c r="I580" s="136">
        <v>0</v>
      </c>
      <c r="J580" s="127" t="s">
        <v>79</v>
      </c>
      <c r="K580" s="18">
        <v>46478</v>
      </c>
      <c r="L580" s="18">
        <v>46492</v>
      </c>
      <c r="M580" s="76"/>
      <c r="N580" s="77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  <c r="AY580" s="78"/>
      <c r="AZ580" s="78"/>
      <c r="BA580" s="78"/>
      <c r="BB580" s="78"/>
      <c r="BC580" s="78"/>
      <c r="BD580" s="78"/>
      <c r="BE580" s="78"/>
      <c r="BF580" s="78"/>
      <c r="BG580" s="78"/>
      <c r="BH580" s="78"/>
      <c r="BI580" s="78"/>
      <c r="BJ580" s="78"/>
      <c r="BK580" s="78"/>
      <c r="BL580" s="78"/>
      <c r="BM580" s="78"/>
      <c r="BN580" s="78"/>
      <c r="BO580" s="78"/>
      <c r="BP580" s="78"/>
      <c r="BQ580" s="92"/>
      <c r="BR580" s="92"/>
      <c r="BS580" s="78"/>
      <c r="BT580" s="78"/>
      <c r="BU580" s="78"/>
      <c r="BV580" s="78"/>
      <c r="BW580" s="78"/>
      <c r="BX580" s="78"/>
      <c r="BY580" s="78"/>
      <c r="BZ580" s="78"/>
      <c r="CA580" s="78"/>
      <c r="CB580" s="78"/>
      <c r="CC580" s="78"/>
      <c r="CD580" s="78"/>
      <c r="CE580" s="78"/>
      <c r="CF580" s="80"/>
    </row>
    <row r="581" spans="1:84" ht="15.75" x14ac:dyDescent="0.25">
      <c r="A581" s="99" t="s">
        <v>786</v>
      </c>
      <c r="B581" s="100" t="s">
        <v>802</v>
      </c>
      <c r="C581" s="73"/>
      <c r="D581" s="108" t="s">
        <v>373</v>
      </c>
      <c r="E581" s="150"/>
      <c r="F581" s="124" t="s">
        <v>13</v>
      </c>
      <c r="G581" s="124" t="s">
        <v>13</v>
      </c>
      <c r="H581" s="126" t="s">
        <v>353</v>
      </c>
      <c r="I581" s="136">
        <v>0</v>
      </c>
      <c r="J581" s="127" t="s">
        <v>79</v>
      </c>
      <c r="K581" s="18">
        <v>46478</v>
      </c>
      <c r="L581" s="18">
        <v>46492</v>
      </c>
      <c r="M581" s="76"/>
      <c r="N581" s="77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  <c r="AY581" s="78"/>
      <c r="AZ581" s="78"/>
      <c r="BA581" s="78"/>
      <c r="BB581" s="78"/>
      <c r="BC581" s="78"/>
      <c r="BD581" s="78"/>
      <c r="BE581" s="78"/>
      <c r="BF581" s="78"/>
      <c r="BG581" s="78"/>
      <c r="BH581" s="78"/>
      <c r="BI581" s="78"/>
      <c r="BJ581" s="78"/>
      <c r="BK581" s="78"/>
      <c r="BL581" s="78"/>
      <c r="BM581" s="78"/>
      <c r="BN581" s="78"/>
      <c r="BO581" s="78"/>
      <c r="BP581" s="78"/>
      <c r="BQ581" s="79"/>
      <c r="BR581" s="79"/>
      <c r="BS581" s="78"/>
      <c r="BT581" s="78"/>
      <c r="BU581" s="78"/>
      <c r="BV581" s="78"/>
      <c r="BW581" s="78"/>
      <c r="BX581" s="78"/>
      <c r="BY581" s="78"/>
      <c r="BZ581" s="78"/>
      <c r="CA581" s="78"/>
      <c r="CB581" s="78"/>
      <c r="CC581" s="78"/>
      <c r="CD581" s="78"/>
      <c r="CE581" s="78"/>
      <c r="CF581" s="80"/>
    </row>
    <row r="582" spans="1:84" ht="15.75" x14ac:dyDescent="0.25">
      <c r="A582" s="99" t="s">
        <v>786</v>
      </c>
      <c r="B582" s="100" t="s">
        <v>803</v>
      </c>
      <c r="C582" s="90"/>
      <c r="D582" s="15" t="s">
        <v>375</v>
      </c>
      <c r="E582" s="150"/>
      <c r="F582" s="124" t="s">
        <v>13</v>
      </c>
      <c r="G582" s="124" t="s">
        <v>13</v>
      </c>
      <c r="H582" s="126" t="s">
        <v>353</v>
      </c>
      <c r="I582" s="75"/>
      <c r="J582" s="127" t="s">
        <v>79</v>
      </c>
      <c r="K582" s="18">
        <v>46492</v>
      </c>
      <c r="L582" s="18">
        <v>46522</v>
      </c>
      <c r="M582" s="76"/>
      <c r="N582" s="77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  <c r="AY582" s="78"/>
      <c r="AZ582" s="78"/>
      <c r="BA582" s="78"/>
      <c r="BB582" s="78"/>
      <c r="BC582" s="78"/>
      <c r="BD582" s="78"/>
      <c r="BE582" s="78"/>
      <c r="BF582" s="78"/>
      <c r="BG582" s="78"/>
      <c r="BH582" s="78"/>
      <c r="BI582" s="78"/>
      <c r="BJ582" s="78"/>
      <c r="BK582" s="78"/>
      <c r="BL582" s="78"/>
      <c r="BM582" s="78"/>
      <c r="BN582" s="78"/>
      <c r="BO582" s="78"/>
      <c r="BP582" s="78"/>
      <c r="BQ582" s="78"/>
      <c r="BR582" s="78"/>
      <c r="BS582" s="93"/>
      <c r="BT582" s="93"/>
      <c r="BU582" s="93"/>
      <c r="BV582" s="93"/>
      <c r="BW582" s="78"/>
      <c r="BX582" s="78"/>
      <c r="BY582" s="78"/>
      <c r="BZ582" s="78"/>
      <c r="CA582" s="78"/>
      <c r="CB582" s="78"/>
      <c r="CC582" s="78"/>
      <c r="CD582" s="78"/>
      <c r="CE582" s="78"/>
      <c r="CF582" s="80"/>
    </row>
    <row r="583" spans="1:84" ht="15.75" x14ac:dyDescent="0.25">
      <c r="A583" s="99" t="s">
        <v>786</v>
      </c>
      <c r="B583" s="100" t="s">
        <v>804</v>
      </c>
      <c r="C583" s="73"/>
      <c r="D583" s="108" t="s">
        <v>626</v>
      </c>
      <c r="E583" s="150"/>
      <c r="F583" s="124" t="s">
        <v>13</v>
      </c>
      <c r="G583" s="124" t="s">
        <v>13</v>
      </c>
      <c r="H583" s="126" t="s">
        <v>353</v>
      </c>
      <c r="I583" s="136">
        <v>0</v>
      </c>
      <c r="J583" s="127" t="s">
        <v>79</v>
      </c>
      <c r="K583" s="18">
        <v>46492</v>
      </c>
      <c r="L583" s="18">
        <v>46522</v>
      </c>
      <c r="M583" s="76"/>
      <c r="N583" s="77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  <c r="AY583" s="78"/>
      <c r="AZ583" s="78"/>
      <c r="BA583" s="78"/>
      <c r="BB583" s="78"/>
      <c r="BC583" s="78"/>
      <c r="BD583" s="78"/>
      <c r="BE583" s="78"/>
      <c r="BF583" s="78"/>
      <c r="BG583" s="78"/>
      <c r="BH583" s="78"/>
      <c r="BI583" s="78"/>
      <c r="BJ583" s="78"/>
      <c r="BK583" s="78"/>
      <c r="BL583" s="78"/>
      <c r="BM583" s="78"/>
      <c r="BN583" s="78"/>
      <c r="BO583" s="78"/>
      <c r="BP583" s="78"/>
      <c r="BQ583" s="78"/>
      <c r="BR583" s="78"/>
      <c r="BS583" s="92"/>
      <c r="BT583" s="92"/>
      <c r="BU583" s="92"/>
      <c r="BV583" s="92"/>
      <c r="BW583" s="78"/>
      <c r="BX583" s="78"/>
      <c r="BY583" s="78"/>
      <c r="BZ583" s="78"/>
      <c r="CA583" s="78"/>
      <c r="CB583" s="78"/>
      <c r="CC583" s="78"/>
      <c r="CD583" s="78"/>
      <c r="CE583" s="78"/>
      <c r="CF583" s="80"/>
    </row>
    <row r="584" spans="1:84" ht="15.75" x14ac:dyDescent="0.25">
      <c r="A584" s="99" t="s">
        <v>786</v>
      </c>
      <c r="B584" s="100" t="s">
        <v>805</v>
      </c>
      <c r="C584" s="73"/>
      <c r="D584" s="108" t="s">
        <v>628</v>
      </c>
      <c r="E584" s="150"/>
      <c r="F584" s="124" t="s">
        <v>13</v>
      </c>
      <c r="G584" s="124" t="s">
        <v>13</v>
      </c>
      <c r="H584" s="126" t="s">
        <v>353</v>
      </c>
      <c r="I584" s="136">
        <v>0</v>
      </c>
      <c r="J584" s="127" t="s">
        <v>79</v>
      </c>
      <c r="K584" s="18">
        <v>46508</v>
      </c>
      <c r="L584" s="18">
        <v>46522</v>
      </c>
      <c r="M584" s="76"/>
      <c r="N584" s="77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  <c r="AY584" s="78"/>
      <c r="AZ584" s="78"/>
      <c r="BA584" s="78"/>
      <c r="BB584" s="78"/>
      <c r="BC584" s="78"/>
      <c r="BD584" s="78"/>
      <c r="BE584" s="78"/>
      <c r="BF584" s="78"/>
      <c r="BG584" s="78"/>
      <c r="BH584" s="78"/>
      <c r="BI584" s="78"/>
      <c r="BJ584" s="78"/>
      <c r="BK584" s="78"/>
      <c r="BL584" s="78"/>
      <c r="BM584" s="78"/>
      <c r="BN584" s="78"/>
      <c r="BO584" s="78"/>
      <c r="BP584" s="78"/>
      <c r="BQ584" s="78"/>
      <c r="BR584" s="78"/>
      <c r="BS584" s="78"/>
      <c r="BT584" s="78"/>
      <c r="BU584" s="92"/>
      <c r="BV584" s="92"/>
      <c r="BW584" s="78"/>
      <c r="BX584" s="78"/>
      <c r="BY584" s="78"/>
      <c r="BZ584" s="78"/>
      <c r="CA584" s="78"/>
      <c r="CB584" s="78"/>
      <c r="CC584" s="78"/>
      <c r="CD584" s="78"/>
      <c r="CE584" s="78"/>
      <c r="CF584" s="80"/>
    </row>
    <row r="585" spans="1:84" ht="15.75" x14ac:dyDescent="0.25">
      <c r="A585" s="99" t="s">
        <v>786</v>
      </c>
      <c r="B585" s="100" t="s">
        <v>806</v>
      </c>
      <c r="C585" s="73"/>
      <c r="D585" s="108" t="s">
        <v>630</v>
      </c>
      <c r="E585" s="150"/>
      <c r="F585" s="124" t="s">
        <v>13</v>
      </c>
      <c r="G585" s="124" t="s">
        <v>13</v>
      </c>
      <c r="H585" s="126" t="s">
        <v>353</v>
      </c>
      <c r="I585" s="136">
        <v>0</v>
      </c>
      <c r="J585" s="127" t="s">
        <v>79</v>
      </c>
      <c r="K585" s="18">
        <v>46508</v>
      </c>
      <c r="L585" s="18">
        <v>46522</v>
      </c>
      <c r="M585" s="76"/>
      <c r="N585" s="77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86"/>
      <c r="AT585" s="86"/>
      <c r="AU585" s="86"/>
      <c r="AV585" s="86"/>
      <c r="AW585" s="86"/>
      <c r="AX585" s="86"/>
      <c r="AY585" s="86"/>
      <c r="AZ585" s="86"/>
      <c r="BA585" s="86"/>
      <c r="BB585" s="86"/>
      <c r="BC585" s="86"/>
      <c r="BD585" s="86"/>
      <c r="BE585" s="86"/>
      <c r="BF585" s="86"/>
      <c r="BG585" s="86"/>
      <c r="BH585" s="86"/>
      <c r="BI585" s="86"/>
      <c r="BJ585" s="78"/>
      <c r="BK585" s="78"/>
      <c r="BL585" s="78"/>
      <c r="BM585" s="78"/>
      <c r="BN585" s="78"/>
      <c r="BO585" s="78"/>
      <c r="BP585" s="78"/>
      <c r="BQ585" s="78"/>
      <c r="BR585" s="78"/>
      <c r="BS585" s="78"/>
      <c r="BT585" s="78"/>
      <c r="BU585" s="92"/>
      <c r="BV585" s="92"/>
      <c r="BW585" s="78"/>
      <c r="BX585" s="78"/>
      <c r="BY585" s="78"/>
      <c r="BZ585" s="78"/>
      <c r="CA585" s="78"/>
      <c r="CB585" s="78"/>
      <c r="CC585" s="78"/>
      <c r="CD585" s="78"/>
      <c r="CE585" s="78"/>
      <c r="CF585" s="80"/>
    </row>
    <row r="586" spans="1:84" ht="31.5" x14ac:dyDescent="0.25">
      <c r="A586" s="99" t="s">
        <v>786</v>
      </c>
      <c r="B586" s="100" t="s">
        <v>807</v>
      </c>
      <c r="C586" s="84"/>
      <c r="D586" s="15" t="s">
        <v>385</v>
      </c>
      <c r="E586" s="150"/>
      <c r="F586" s="124" t="s">
        <v>310</v>
      </c>
      <c r="G586" s="124" t="s">
        <v>13</v>
      </c>
      <c r="H586" s="126" t="s">
        <v>353</v>
      </c>
      <c r="I586" s="136">
        <v>0</v>
      </c>
      <c r="J586" s="127" t="s">
        <v>79</v>
      </c>
      <c r="K586" s="18">
        <v>46508</v>
      </c>
      <c r="L586" s="18">
        <v>46522</v>
      </c>
      <c r="M586" s="76"/>
      <c r="N586" s="77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  <c r="AO586" s="86"/>
      <c r="AP586" s="86"/>
      <c r="AQ586" s="86"/>
      <c r="AR586" s="86"/>
      <c r="AS586" s="78"/>
      <c r="AT586" s="78"/>
      <c r="AU586" s="78"/>
      <c r="AV586" s="78"/>
      <c r="AW586" s="78"/>
      <c r="AX586" s="78"/>
      <c r="AY586" s="78"/>
      <c r="AZ586" s="78"/>
      <c r="BA586" s="78"/>
      <c r="BB586" s="78"/>
      <c r="BC586" s="78"/>
      <c r="BD586" s="78"/>
      <c r="BE586" s="78"/>
      <c r="BF586" s="78"/>
      <c r="BG586" s="78"/>
      <c r="BH586" s="78"/>
      <c r="BI586" s="78"/>
      <c r="BJ586" s="86"/>
      <c r="BK586" s="86"/>
      <c r="BL586" s="86"/>
      <c r="BM586" s="86"/>
      <c r="BN586" s="86"/>
      <c r="BO586" s="86"/>
      <c r="BP586" s="86"/>
      <c r="BQ586" s="86"/>
      <c r="BR586" s="86"/>
      <c r="BS586" s="86"/>
      <c r="BT586" s="86"/>
      <c r="BU586" s="87"/>
      <c r="BV586" s="87"/>
      <c r="BW586" s="86"/>
      <c r="BX586" s="86"/>
      <c r="BY586" s="86"/>
      <c r="BZ586" s="86"/>
      <c r="CA586" s="86"/>
      <c r="CB586" s="86"/>
      <c r="CC586" s="86"/>
      <c r="CD586" s="86"/>
      <c r="CE586" s="86"/>
      <c r="CF586" s="88"/>
    </row>
    <row r="587" spans="1:84" ht="15.75" x14ac:dyDescent="0.25">
      <c r="A587" s="99" t="s">
        <v>786</v>
      </c>
      <c r="B587" s="100" t="s">
        <v>808</v>
      </c>
      <c r="C587" s="84"/>
      <c r="D587" s="15" t="s">
        <v>387</v>
      </c>
      <c r="E587" s="150"/>
      <c r="F587" s="124" t="s">
        <v>274</v>
      </c>
      <c r="G587" s="124" t="s">
        <v>13</v>
      </c>
      <c r="H587" s="126" t="s">
        <v>353</v>
      </c>
      <c r="I587" s="136">
        <v>0</v>
      </c>
      <c r="J587" s="127" t="s">
        <v>79</v>
      </c>
      <c r="K587" s="18">
        <v>46508</v>
      </c>
      <c r="L587" s="18">
        <v>46522</v>
      </c>
      <c r="M587" s="76"/>
      <c r="N587" s="77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  <c r="AO587" s="86"/>
      <c r="AP587" s="86"/>
      <c r="AQ587" s="86"/>
      <c r="AR587" s="86"/>
      <c r="AS587" s="78"/>
      <c r="AT587" s="78"/>
      <c r="AU587" s="78"/>
      <c r="AV587" s="78"/>
      <c r="AW587" s="78"/>
      <c r="AX587" s="78"/>
      <c r="AY587" s="78"/>
      <c r="AZ587" s="78"/>
      <c r="BA587" s="78"/>
      <c r="BB587" s="78"/>
      <c r="BC587" s="78"/>
      <c r="BD587" s="78"/>
      <c r="BE587" s="78"/>
      <c r="BF587" s="78"/>
      <c r="BG587" s="78"/>
      <c r="BH587" s="78"/>
      <c r="BI587" s="78"/>
      <c r="BJ587" s="78"/>
      <c r="BK587" s="78"/>
      <c r="BL587" s="78"/>
      <c r="BM587" s="78"/>
      <c r="BN587" s="78"/>
      <c r="BO587" s="78"/>
      <c r="BP587" s="78"/>
      <c r="BQ587" s="78"/>
      <c r="BR587" s="78"/>
      <c r="BS587" s="78"/>
      <c r="BT587" s="78"/>
      <c r="BU587" s="87"/>
      <c r="BV587" s="87"/>
      <c r="BW587" s="86"/>
      <c r="BX587" s="86"/>
      <c r="BY587" s="86"/>
      <c r="BZ587" s="86"/>
      <c r="CA587" s="86"/>
      <c r="CB587" s="86"/>
      <c r="CC587" s="86"/>
      <c r="CD587" s="86"/>
      <c r="CE587" s="86"/>
      <c r="CF587" s="88"/>
    </row>
    <row r="588" spans="1:84" ht="47.25" x14ac:dyDescent="0.25">
      <c r="A588" s="99" t="s">
        <v>786</v>
      </c>
      <c r="B588" s="100" t="s">
        <v>809</v>
      </c>
      <c r="C588" s="84"/>
      <c r="D588" s="43" t="s">
        <v>810</v>
      </c>
      <c r="E588" s="150"/>
      <c r="F588" s="124" t="s">
        <v>13</v>
      </c>
      <c r="G588" s="124" t="s">
        <v>811</v>
      </c>
      <c r="H588" s="126" t="s">
        <v>353</v>
      </c>
      <c r="I588" s="136">
        <v>0</v>
      </c>
      <c r="J588" s="127" t="s">
        <v>79</v>
      </c>
      <c r="K588" s="18">
        <v>46508</v>
      </c>
      <c r="L588" s="18">
        <v>46522</v>
      </c>
      <c r="M588" s="76"/>
      <c r="N588" s="77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  <c r="AO588" s="86"/>
      <c r="AP588" s="86"/>
      <c r="AQ588" s="86"/>
      <c r="AR588" s="86"/>
      <c r="AS588" s="86"/>
      <c r="AT588" s="86"/>
      <c r="AU588" s="86"/>
      <c r="AV588" s="86"/>
      <c r="AW588" s="86"/>
      <c r="AX588" s="86"/>
      <c r="AY588" s="86"/>
      <c r="AZ588" s="86"/>
      <c r="BA588" s="86"/>
      <c r="BB588" s="86"/>
      <c r="BC588" s="86"/>
      <c r="BD588" s="86"/>
      <c r="BE588" s="86"/>
      <c r="BF588" s="86"/>
      <c r="BG588" s="86"/>
      <c r="BH588" s="86"/>
      <c r="BI588" s="86"/>
      <c r="BJ588" s="78"/>
      <c r="BK588" s="78"/>
      <c r="BL588" s="78"/>
      <c r="BM588" s="78"/>
      <c r="BN588" s="78"/>
      <c r="BO588" s="78"/>
      <c r="BP588" s="78"/>
      <c r="BQ588" s="78"/>
      <c r="BR588" s="78"/>
      <c r="BS588" s="78"/>
      <c r="BT588" s="78"/>
      <c r="BU588" s="86"/>
      <c r="BV588" s="89"/>
      <c r="BW588" s="86"/>
      <c r="BX588" s="86"/>
      <c r="BY588" s="86"/>
      <c r="BZ588" s="86"/>
      <c r="CA588" s="86"/>
      <c r="CB588" s="86"/>
      <c r="CC588" s="86"/>
      <c r="CD588" s="86"/>
      <c r="CE588" s="86"/>
      <c r="CF588" s="88"/>
    </row>
    <row r="589" spans="1:84" ht="15.75" x14ac:dyDescent="0.25">
      <c r="A589" s="99" t="s">
        <v>812</v>
      </c>
      <c r="B589" s="13">
        <v>15</v>
      </c>
      <c r="C589" s="101"/>
      <c r="D589" s="37" t="s">
        <v>813</v>
      </c>
      <c r="E589" s="150"/>
      <c r="F589" s="124" t="s">
        <v>13</v>
      </c>
      <c r="G589" s="124" t="s">
        <v>13</v>
      </c>
      <c r="H589" s="129" t="s">
        <v>353</v>
      </c>
      <c r="I589" s="105"/>
      <c r="J589" s="128" t="s">
        <v>79</v>
      </c>
      <c r="K589" s="18">
        <v>46341</v>
      </c>
      <c r="L589" s="18">
        <v>46507</v>
      </c>
      <c r="M589" s="76"/>
      <c r="N589" s="77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86"/>
      <c r="AT589" s="86"/>
      <c r="AU589" s="86"/>
      <c r="AV589" s="86"/>
      <c r="AW589" s="86"/>
      <c r="AX589" s="86"/>
      <c r="AY589" s="109"/>
      <c r="AZ589" s="109"/>
      <c r="BA589" s="109"/>
      <c r="BB589" s="109"/>
      <c r="BC589" s="109"/>
      <c r="BD589" s="109"/>
      <c r="BE589" s="109"/>
      <c r="BF589" s="109"/>
      <c r="BG589" s="109"/>
      <c r="BH589" s="109"/>
      <c r="BI589" s="109"/>
      <c r="BJ589" s="109"/>
      <c r="BK589" s="109"/>
      <c r="BL589" s="109"/>
      <c r="BM589" s="109"/>
      <c r="BN589" s="109"/>
      <c r="BO589" s="109"/>
      <c r="BP589" s="109"/>
      <c r="BQ589" s="109"/>
      <c r="BR589" s="109"/>
      <c r="BS589" s="109"/>
      <c r="BT589" s="109"/>
      <c r="BU589" s="86"/>
      <c r="BV589" s="86"/>
      <c r="BW589" s="78"/>
      <c r="BX589" s="78"/>
      <c r="BY589" s="78"/>
      <c r="BZ589" s="86"/>
      <c r="CA589" s="78"/>
      <c r="CB589" s="78"/>
      <c r="CC589" s="78"/>
      <c r="CD589" s="78"/>
      <c r="CE589" s="78"/>
      <c r="CF589" s="80"/>
    </row>
    <row r="590" spans="1:84" ht="15.75" x14ac:dyDescent="0.25">
      <c r="A590" s="99" t="s">
        <v>812</v>
      </c>
      <c r="B590" s="100" t="s">
        <v>814</v>
      </c>
      <c r="C590" s="90"/>
      <c r="D590" s="15" t="s">
        <v>815</v>
      </c>
      <c r="E590" s="150"/>
      <c r="F590" s="124" t="s">
        <v>13</v>
      </c>
      <c r="G590" s="124" t="s">
        <v>13</v>
      </c>
      <c r="H590" s="126" t="s">
        <v>353</v>
      </c>
      <c r="I590" s="75"/>
      <c r="J590" s="127" t="s">
        <v>79</v>
      </c>
      <c r="K590" s="18">
        <v>46341</v>
      </c>
      <c r="L590" s="18">
        <v>46433</v>
      </c>
      <c r="M590" s="76"/>
      <c r="N590" s="77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  <c r="AO590" s="86"/>
      <c r="AP590" s="86"/>
      <c r="AQ590" s="86"/>
      <c r="AR590" s="86"/>
      <c r="AS590" s="86"/>
      <c r="AT590" s="86"/>
      <c r="AU590" s="86"/>
      <c r="AV590" s="86"/>
      <c r="AW590" s="86"/>
      <c r="AX590" s="86"/>
      <c r="AY590" s="110"/>
      <c r="AZ590" s="110"/>
      <c r="BA590" s="110"/>
      <c r="BB590" s="110"/>
      <c r="BC590" s="110"/>
      <c r="BD590" s="110"/>
      <c r="BE590" s="110"/>
      <c r="BF590" s="110"/>
      <c r="BG590" s="110"/>
      <c r="BH590" s="110"/>
      <c r="BI590" s="110"/>
      <c r="BJ590" s="110"/>
      <c r="BK590" s="86"/>
      <c r="BL590" s="86"/>
      <c r="BM590" s="86"/>
      <c r="BN590" s="86"/>
      <c r="BO590" s="86"/>
      <c r="BP590" s="86"/>
      <c r="BQ590" s="86"/>
      <c r="BR590" s="86"/>
      <c r="BS590" s="86"/>
      <c r="BT590" s="86"/>
      <c r="BU590" s="86"/>
      <c r="BV590" s="86"/>
      <c r="BW590" s="86"/>
      <c r="BX590" s="86"/>
      <c r="BY590" s="86"/>
      <c r="BZ590" s="86"/>
      <c r="CA590" s="86"/>
      <c r="CB590" s="86"/>
      <c r="CC590" s="86"/>
      <c r="CD590" s="86"/>
      <c r="CE590" s="86"/>
      <c r="CF590" s="88"/>
    </row>
    <row r="591" spans="1:84" ht="15.75" x14ac:dyDescent="0.25">
      <c r="A591" s="99" t="s">
        <v>812</v>
      </c>
      <c r="B591" s="100" t="s">
        <v>816</v>
      </c>
      <c r="C591" s="73"/>
      <c r="D591" s="108" t="s">
        <v>817</v>
      </c>
      <c r="E591" s="150"/>
      <c r="F591" s="124" t="s">
        <v>13</v>
      </c>
      <c r="G591" s="124" t="s">
        <v>13</v>
      </c>
      <c r="H591" s="126" t="s">
        <v>353</v>
      </c>
      <c r="I591" s="136">
        <v>0</v>
      </c>
      <c r="J591" s="127" t="s">
        <v>79</v>
      </c>
      <c r="K591" s="18">
        <v>46341</v>
      </c>
      <c r="L591" s="18">
        <v>46433</v>
      </c>
      <c r="M591" s="76"/>
      <c r="N591" s="77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  <c r="AO591" s="86"/>
      <c r="AP591" s="86"/>
      <c r="AQ591" s="86"/>
      <c r="AR591" s="86"/>
      <c r="AS591" s="86"/>
      <c r="AT591" s="86"/>
      <c r="AU591" s="86"/>
      <c r="AV591" s="86"/>
      <c r="AW591" s="86"/>
      <c r="AX591" s="86"/>
      <c r="AY591" s="87"/>
      <c r="AZ591" s="87"/>
      <c r="BA591" s="87"/>
      <c r="BB591" s="87"/>
      <c r="BC591" s="87"/>
      <c r="BD591" s="87"/>
      <c r="BE591" s="87"/>
      <c r="BF591" s="87"/>
      <c r="BG591" s="87"/>
      <c r="BH591" s="87"/>
      <c r="BI591" s="87"/>
      <c r="BJ591" s="87"/>
      <c r="BK591" s="86"/>
      <c r="BL591" s="86"/>
      <c r="BM591" s="86"/>
      <c r="BN591" s="86"/>
      <c r="BO591" s="86"/>
      <c r="BP591" s="86"/>
      <c r="BQ591" s="86"/>
      <c r="BR591" s="86"/>
      <c r="BS591" s="86"/>
      <c r="BT591" s="86"/>
      <c r="BU591" s="86"/>
      <c r="BV591" s="86"/>
      <c r="BW591" s="86"/>
      <c r="BX591" s="86"/>
      <c r="BY591" s="86"/>
      <c r="BZ591" s="86"/>
      <c r="CA591" s="86"/>
      <c r="CB591" s="86"/>
      <c r="CC591" s="86"/>
      <c r="CD591" s="86"/>
      <c r="CE591" s="86"/>
      <c r="CF591" s="88"/>
    </row>
    <row r="592" spans="1:84" ht="15.75" x14ac:dyDescent="0.25">
      <c r="A592" s="99" t="s">
        <v>812</v>
      </c>
      <c r="B592" s="100" t="s">
        <v>818</v>
      </c>
      <c r="C592" s="73"/>
      <c r="D592" s="108" t="s">
        <v>813</v>
      </c>
      <c r="E592" s="150"/>
      <c r="F592" s="124" t="s">
        <v>13</v>
      </c>
      <c r="G592" s="124" t="s">
        <v>13</v>
      </c>
      <c r="H592" s="126" t="s">
        <v>353</v>
      </c>
      <c r="I592" s="136">
        <v>0</v>
      </c>
      <c r="J592" s="127" t="s">
        <v>79</v>
      </c>
      <c r="K592" s="18">
        <v>46357</v>
      </c>
      <c r="L592" s="18">
        <v>46433</v>
      </c>
      <c r="M592" s="76"/>
      <c r="N592" s="77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  <c r="AO592" s="86"/>
      <c r="AP592" s="86"/>
      <c r="AQ592" s="86"/>
      <c r="AR592" s="86"/>
      <c r="AS592" s="86"/>
      <c r="AT592" s="86"/>
      <c r="AU592" s="86"/>
      <c r="AV592" s="86"/>
      <c r="AW592" s="86"/>
      <c r="AX592" s="86"/>
      <c r="AY592" s="86"/>
      <c r="AZ592" s="86"/>
      <c r="BA592" s="87"/>
      <c r="BB592" s="87"/>
      <c r="BC592" s="87"/>
      <c r="BD592" s="87"/>
      <c r="BE592" s="87"/>
      <c r="BF592" s="87"/>
      <c r="BG592" s="87"/>
      <c r="BH592" s="87"/>
      <c r="BI592" s="87"/>
      <c r="BJ592" s="87"/>
      <c r="BK592" s="86"/>
      <c r="BL592" s="86"/>
      <c r="BM592" s="86"/>
      <c r="BN592" s="86"/>
      <c r="BO592" s="86"/>
      <c r="BP592" s="86"/>
      <c r="BQ592" s="86"/>
      <c r="BR592" s="86"/>
      <c r="BS592" s="86"/>
      <c r="BT592" s="86"/>
      <c r="BU592" s="86"/>
      <c r="BV592" s="86"/>
      <c r="BW592" s="86"/>
      <c r="BX592" s="86"/>
      <c r="BY592" s="86"/>
      <c r="BZ592" s="86"/>
      <c r="CA592" s="86"/>
      <c r="CB592" s="86"/>
      <c r="CC592" s="86"/>
      <c r="CD592" s="86"/>
      <c r="CE592" s="86"/>
      <c r="CF592" s="88"/>
    </row>
    <row r="593" spans="1:84" ht="15.75" x14ac:dyDescent="0.25">
      <c r="A593" s="99" t="s">
        <v>812</v>
      </c>
      <c r="B593" s="100" t="s">
        <v>819</v>
      </c>
      <c r="C593" s="73"/>
      <c r="D593" s="108" t="s">
        <v>820</v>
      </c>
      <c r="E593" s="150"/>
      <c r="F593" s="124" t="s">
        <v>13</v>
      </c>
      <c r="G593" s="124" t="s">
        <v>13</v>
      </c>
      <c r="H593" s="126" t="s">
        <v>353</v>
      </c>
      <c r="I593" s="136">
        <v>0</v>
      </c>
      <c r="J593" s="127" t="s">
        <v>79</v>
      </c>
      <c r="K593" s="18">
        <v>46402</v>
      </c>
      <c r="L593" s="18">
        <v>46433</v>
      </c>
      <c r="M593" s="76"/>
      <c r="N593" s="77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  <c r="AO593" s="86"/>
      <c r="AP593" s="86"/>
      <c r="AQ593" s="86"/>
      <c r="AR593" s="86"/>
      <c r="AS593" s="86"/>
      <c r="AT593" s="86"/>
      <c r="AU593" s="86"/>
      <c r="AV593" s="86"/>
      <c r="AW593" s="86"/>
      <c r="AX593" s="86"/>
      <c r="AY593" s="86"/>
      <c r="AZ593" s="86"/>
      <c r="BA593" s="86"/>
      <c r="BB593" s="86"/>
      <c r="BC593" s="86"/>
      <c r="BD593" s="86"/>
      <c r="BE593" s="86"/>
      <c r="BF593" s="86"/>
      <c r="BG593" s="87"/>
      <c r="BH593" s="87"/>
      <c r="BI593" s="87"/>
      <c r="BJ593" s="87"/>
      <c r="BK593" s="86"/>
      <c r="BL593" s="86"/>
      <c r="BM593" s="86"/>
      <c r="BN593" s="86"/>
      <c r="BO593" s="86"/>
      <c r="BP593" s="86"/>
      <c r="BQ593" s="86"/>
      <c r="BR593" s="86"/>
      <c r="BS593" s="86"/>
      <c r="BT593" s="86"/>
      <c r="BU593" s="86"/>
      <c r="BV593" s="86"/>
      <c r="BW593" s="86"/>
      <c r="BX593" s="86"/>
      <c r="BY593" s="86"/>
      <c r="BZ593" s="86"/>
      <c r="CA593" s="86"/>
      <c r="CB593" s="86"/>
      <c r="CC593" s="86"/>
      <c r="CD593" s="86"/>
      <c r="CE593" s="86"/>
      <c r="CF593" s="88"/>
    </row>
    <row r="594" spans="1:84" ht="15.75" x14ac:dyDescent="0.25">
      <c r="A594" s="99" t="s">
        <v>812</v>
      </c>
      <c r="B594" s="100" t="s">
        <v>821</v>
      </c>
      <c r="C594" s="90"/>
      <c r="D594" s="15" t="s">
        <v>822</v>
      </c>
      <c r="E594" s="150"/>
      <c r="F594" s="124" t="s">
        <v>13</v>
      </c>
      <c r="G594" s="124" t="s">
        <v>13</v>
      </c>
      <c r="H594" s="126" t="s">
        <v>353</v>
      </c>
      <c r="I594" s="75"/>
      <c r="J594" s="127" t="s">
        <v>79</v>
      </c>
      <c r="K594" s="18">
        <v>46433</v>
      </c>
      <c r="L594" s="18">
        <v>46507</v>
      </c>
      <c r="M594" s="76"/>
      <c r="N594" s="77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  <c r="AY594" s="78"/>
      <c r="AZ594" s="78"/>
      <c r="BA594" s="78"/>
      <c r="BB594" s="78"/>
      <c r="BC594" s="78"/>
      <c r="BD594" s="78"/>
      <c r="BE594" s="78"/>
      <c r="BF594" s="78"/>
      <c r="BG594" s="78"/>
      <c r="BH594" s="78"/>
      <c r="BI594" s="78"/>
      <c r="BJ594" s="78"/>
      <c r="BK594" s="93"/>
      <c r="BL594" s="93"/>
      <c r="BM594" s="93"/>
      <c r="BN594" s="93"/>
      <c r="BO594" s="93"/>
      <c r="BP594" s="93"/>
      <c r="BQ594" s="93"/>
      <c r="BR594" s="93"/>
      <c r="BS594" s="93"/>
      <c r="BT594" s="93"/>
      <c r="BU594" s="78"/>
      <c r="BV594" s="78"/>
      <c r="BW594" s="78"/>
      <c r="BX594" s="78"/>
      <c r="BY594" s="78"/>
      <c r="BZ594" s="78"/>
      <c r="CA594" s="78"/>
      <c r="CB594" s="78"/>
      <c r="CC594" s="78"/>
      <c r="CD594" s="78"/>
      <c r="CE594" s="78"/>
      <c r="CF594" s="80"/>
    </row>
    <row r="595" spans="1:84" ht="15.75" x14ac:dyDescent="0.25">
      <c r="A595" s="99" t="s">
        <v>812</v>
      </c>
      <c r="B595" s="100" t="s">
        <v>823</v>
      </c>
      <c r="C595" s="73"/>
      <c r="D595" s="108" t="s">
        <v>817</v>
      </c>
      <c r="E595" s="150"/>
      <c r="F595" s="124" t="s">
        <v>13</v>
      </c>
      <c r="G595" s="124" t="s">
        <v>13</v>
      </c>
      <c r="H595" s="126" t="s">
        <v>353</v>
      </c>
      <c r="I595" s="136">
        <v>0</v>
      </c>
      <c r="J595" s="127" t="s">
        <v>79</v>
      </c>
      <c r="K595" s="18">
        <v>46433</v>
      </c>
      <c r="L595" s="18">
        <v>46507</v>
      </c>
      <c r="M595" s="76"/>
      <c r="N595" s="77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  <c r="AO595" s="86"/>
      <c r="AP595" s="86"/>
      <c r="AQ595" s="86"/>
      <c r="AR595" s="86"/>
      <c r="AS595" s="86"/>
      <c r="AT595" s="86"/>
      <c r="AU595" s="86"/>
      <c r="AV595" s="86"/>
      <c r="AW595" s="86"/>
      <c r="AX595" s="86"/>
      <c r="AY595" s="86"/>
      <c r="AZ595" s="86"/>
      <c r="BA595" s="86"/>
      <c r="BB595" s="86"/>
      <c r="BC595" s="86"/>
      <c r="BD595" s="86"/>
      <c r="BE595" s="86"/>
      <c r="BF595" s="86"/>
      <c r="BG595" s="86"/>
      <c r="BH595" s="86"/>
      <c r="BI595" s="86"/>
      <c r="BJ595" s="86"/>
      <c r="BK595" s="87"/>
      <c r="BL595" s="87"/>
      <c r="BM595" s="87"/>
      <c r="BN595" s="87"/>
      <c r="BO595" s="87"/>
      <c r="BP595" s="87"/>
      <c r="BQ595" s="87"/>
      <c r="BR595" s="87"/>
      <c r="BS595" s="87"/>
      <c r="BT595" s="87"/>
      <c r="BU595" s="86"/>
      <c r="BV595" s="86"/>
      <c r="BW595" s="86"/>
      <c r="BX595" s="86"/>
      <c r="BY595" s="86"/>
      <c r="BZ595" s="86"/>
      <c r="CA595" s="86"/>
      <c r="CB595" s="86"/>
      <c r="CC595" s="86"/>
      <c r="CD595" s="86"/>
      <c r="CE595" s="86"/>
      <c r="CF595" s="88"/>
    </row>
    <row r="596" spans="1:84" ht="15.75" x14ac:dyDescent="0.25">
      <c r="A596" s="99" t="s">
        <v>812</v>
      </c>
      <c r="B596" s="100" t="s">
        <v>824</v>
      </c>
      <c r="C596" s="73"/>
      <c r="D596" s="108" t="s">
        <v>813</v>
      </c>
      <c r="E596" s="150"/>
      <c r="F596" s="124" t="s">
        <v>13</v>
      </c>
      <c r="G596" s="124" t="s">
        <v>13</v>
      </c>
      <c r="H596" s="126" t="s">
        <v>353</v>
      </c>
      <c r="I596" s="136">
        <v>0</v>
      </c>
      <c r="J596" s="127" t="s">
        <v>14</v>
      </c>
      <c r="K596" s="18">
        <v>46447</v>
      </c>
      <c r="L596" s="18">
        <v>46507</v>
      </c>
      <c r="M596" s="76"/>
      <c r="N596" s="77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  <c r="AO596" s="86"/>
      <c r="AP596" s="86"/>
      <c r="AQ596" s="86"/>
      <c r="AR596" s="86"/>
      <c r="AS596" s="86"/>
      <c r="AT596" s="86"/>
      <c r="AU596" s="86"/>
      <c r="AV596" s="86"/>
      <c r="AW596" s="86"/>
      <c r="AX596" s="86"/>
      <c r="AY596" s="86"/>
      <c r="AZ596" s="86"/>
      <c r="BA596" s="86"/>
      <c r="BB596" s="86"/>
      <c r="BC596" s="86"/>
      <c r="BD596" s="86"/>
      <c r="BE596" s="86"/>
      <c r="BF596" s="86"/>
      <c r="BG596" s="86"/>
      <c r="BH596" s="86"/>
      <c r="BI596" s="86"/>
      <c r="BJ596" s="86"/>
      <c r="BK596" s="86"/>
      <c r="BL596" s="86"/>
      <c r="BM596" s="87"/>
      <c r="BN596" s="87"/>
      <c r="BO596" s="87"/>
      <c r="BP596" s="87"/>
      <c r="BQ596" s="87"/>
      <c r="BR596" s="87"/>
      <c r="BS596" s="87"/>
      <c r="BT596" s="87"/>
      <c r="BU596" s="86"/>
      <c r="BV596" s="86"/>
      <c r="BW596" s="86"/>
      <c r="BX596" s="86"/>
      <c r="BY596" s="86"/>
      <c r="BZ596" s="86"/>
      <c r="CA596" s="86"/>
      <c r="CB596" s="86"/>
      <c r="CC596" s="86"/>
      <c r="CD596" s="86"/>
      <c r="CE596" s="86"/>
      <c r="CF596" s="88"/>
    </row>
    <row r="597" spans="1:84" ht="15.75" x14ac:dyDescent="0.25">
      <c r="A597" s="99" t="s">
        <v>812</v>
      </c>
      <c r="B597" s="100" t="s">
        <v>825</v>
      </c>
      <c r="C597" s="73"/>
      <c r="D597" s="108" t="s">
        <v>826</v>
      </c>
      <c r="E597" s="150"/>
      <c r="F597" s="124" t="s">
        <v>13</v>
      </c>
      <c r="G597" s="124" t="s">
        <v>13</v>
      </c>
      <c r="H597" s="126" t="s">
        <v>353</v>
      </c>
      <c r="I597" s="136">
        <v>0</v>
      </c>
      <c r="J597" s="127" t="s">
        <v>79</v>
      </c>
      <c r="K597" s="18">
        <v>46492</v>
      </c>
      <c r="L597" s="18">
        <v>46507</v>
      </c>
      <c r="M597" s="76"/>
      <c r="N597" s="77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  <c r="AO597" s="86"/>
      <c r="AP597" s="86"/>
      <c r="AQ597" s="86"/>
      <c r="AR597" s="86"/>
      <c r="AS597" s="86"/>
      <c r="AT597" s="86"/>
      <c r="AU597" s="86"/>
      <c r="AV597" s="86"/>
      <c r="AW597" s="86"/>
      <c r="AX597" s="86"/>
      <c r="AY597" s="86"/>
      <c r="AZ597" s="86"/>
      <c r="BA597" s="86"/>
      <c r="BB597" s="86"/>
      <c r="BC597" s="86"/>
      <c r="BD597" s="86"/>
      <c r="BE597" s="86"/>
      <c r="BF597" s="86"/>
      <c r="BG597" s="86"/>
      <c r="BH597" s="86"/>
      <c r="BI597" s="86"/>
      <c r="BJ597" s="86"/>
      <c r="BK597" s="86"/>
      <c r="BL597" s="86"/>
      <c r="BM597" s="86"/>
      <c r="BN597" s="86"/>
      <c r="BO597" s="86"/>
      <c r="BP597" s="86"/>
      <c r="BQ597" s="86"/>
      <c r="BR597" s="86"/>
      <c r="BS597" s="87"/>
      <c r="BT597" s="87"/>
      <c r="BU597" s="86"/>
      <c r="BV597" s="86"/>
      <c r="BW597" s="86"/>
      <c r="BX597" s="86"/>
      <c r="BY597" s="86"/>
      <c r="BZ597" s="86"/>
      <c r="CA597" s="86"/>
      <c r="CB597" s="86"/>
      <c r="CC597" s="86"/>
      <c r="CD597" s="86"/>
      <c r="CE597" s="86"/>
      <c r="CF597" s="88"/>
    </row>
    <row r="598" spans="1:84" ht="15.75" x14ac:dyDescent="0.25">
      <c r="A598" s="99" t="s">
        <v>812</v>
      </c>
      <c r="B598" s="100" t="s">
        <v>827</v>
      </c>
      <c r="C598" s="84"/>
      <c r="D598" s="15" t="s">
        <v>385</v>
      </c>
      <c r="E598" s="150"/>
      <c r="F598" s="124" t="s">
        <v>13</v>
      </c>
      <c r="G598" s="124" t="s">
        <v>13</v>
      </c>
      <c r="H598" s="126" t="s">
        <v>353</v>
      </c>
      <c r="I598" s="136">
        <v>0</v>
      </c>
      <c r="J598" s="127" t="s">
        <v>14</v>
      </c>
      <c r="K598" s="18">
        <v>46492</v>
      </c>
      <c r="L598" s="18">
        <v>46507</v>
      </c>
      <c r="M598" s="76"/>
      <c r="N598" s="77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  <c r="AO598" s="86"/>
      <c r="AP598" s="86"/>
      <c r="AQ598" s="86"/>
      <c r="AR598" s="86"/>
      <c r="AS598" s="86"/>
      <c r="AT598" s="86"/>
      <c r="AU598" s="86"/>
      <c r="AV598" s="86"/>
      <c r="AW598" s="86"/>
      <c r="AX598" s="86"/>
      <c r="AY598" s="86"/>
      <c r="AZ598" s="86"/>
      <c r="BA598" s="86"/>
      <c r="BB598" s="86"/>
      <c r="BC598" s="86"/>
      <c r="BD598" s="86"/>
      <c r="BE598" s="86"/>
      <c r="BF598" s="86"/>
      <c r="BG598" s="86"/>
      <c r="BH598" s="86"/>
      <c r="BI598" s="86"/>
      <c r="BJ598" s="86"/>
      <c r="BK598" s="86"/>
      <c r="BL598" s="86"/>
      <c r="BM598" s="86"/>
      <c r="BN598" s="86"/>
      <c r="BO598" s="86"/>
      <c r="BP598" s="86"/>
      <c r="BQ598" s="86"/>
      <c r="BR598" s="86"/>
      <c r="BS598" s="87"/>
      <c r="BT598" s="87"/>
      <c r="BU598" s="86"/>
      <c r="BV598" s="86"/>
      <c r="BW598" s="86"/>
      <c r="BX598" s="86"/>
      <c r="BY598" s="86"/>
      <c r="BZ598" s="86"/>
      <c r="CA598" s="86"/>
      <c r="CB598" s="86"/>
      <c r="CC598" s="86"/>
      <c r="CD598" s="86"/>
      <c r="CE598" s="86"/>
      <c r="CF598" s="88"/>
    </row>
    <row r="599" spans="1:84" ht="15.75" x14ac:dyDescent="0.25">
      <c r="A599" s="99" t="s">
        <v>812</v>
      </c>
      <c r="B599" s="100" t="s">
        <v>828</v>
      </c>
      <c r="C599" s="84"/>
      <c r="D599" s="15" t="s">
        <v>387</v>
      </c>
      <c r="E599" s="150"/>
      <c r="F599" s="124" t="s">
        <v>13</v>
      </c>
      <c r="G599" s="124" t="s">
        <v>13</v>
      </c>
      <c r="H599" s="126" t="s">
        <v>353</v>
      </c>
      <c r="I599" s="136">
        <v>0</v>
      </c>
      <c r="J599" s="127" t="s">
        <v>14</v>
      </c>
      <c r="K599" s="18">
        <v>46492</v>
      </c>
      <c r="L599" s="18">
        <v>46507</v>
      </c>
      <c r="M599" s="76"/>
      <c r="N599" s="77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  <c r="AO599" s="86"/>
      <c r="AP599" s="86"/>
      <c r="AQ599" s="86"/>
      <c r="AR599" s="86"/>
      <c r="AS599" s="86"/>
      <c r="AT599" s="86"/>
      <c r="AU599" s="86"/>
      <c r="AV599" s="86"/>
      <c r="AW599" s="86"/>
      <c r="AX599" s="86"/>
      <c r="AY599" s="86"/>
      <c r="AZ599" s="86"/>
      <c r="BA599" s="86"/>
      <c r="BB599" s="86"/>
      <c r="BC599" s="86"/>
      <c r="BD599" s="86"/>
      <c r="BE599" s="86"/>
      <c r="BF599" s="86"/>
      <c r="BG599" s="86"/>
      <c r="BH599" s="86"/>
      <c r="BI599" s="86"/>
      <c r="BJ599" s="86"/>
      <c r="BK599" s="86"/>
      <c r="BL599" s="86"/>
      <c r="BM599" s="86"/>
      <c r="BN599" s="86"/>
      <c r="BO599" s="86"/>
      <c r="BP599" s="86"/>
      <c r="BQ599" s="86"/>
      <c r="BR599" s="86"/>
      <c r="BS599" s="87"/>
      <c r="BT599" s="87"/>
      <c r="BU599" s="86"/>
      <c r="BV599" s="86"/>
      <c r="BW599" s="86"/>
      <c r="BX599" s="86"/>
      <c r="BY599" s="86"/>
      <c r="BZ599" s="86"/>
      <c r="CA599" s="86"/>
      <c r="CB599" s="86"/>
      <c r="CC599" s="86"/>
      <c r="CD599" s="86"/>
      <c r="CE599" s="86"/>
      <c r="CF599" s="88"/>
    </row>
    <row r="600" spans="1:84" ht="15.75" x14ac:dyDescent="0.25">
      <c r="A600" s="99" t="s">
        <v>829</v>
      </c>
      <c r="B600" s="13">
        <v>16</v>
      </c>
      <c r="C600" s="101"/>
      <c r="D600" s="37" t="s">
        <v>830</v>
      </c>
      <c r="E600" s="150"/>
      <c r="F600" s="124" t="s">
        <v>13</v>
      </c>
      <c r="G600" s="124" t="s">
        <v>13</v>
      </c>
      <c r="H600" s="129" t="s">
        <v>353</v>
      </c>
      <c r="I600" s="105"/>
      <c r="J600" s="128" t="s">
        <v>95</v>
      </c>
      <c r="K600" s="18">
        <v>46522</v>
      </c>
      <c r="L600" s="18">
        <v>46583</v>
      </c>
      <c r="M600" s="76"/>
      <c r="N600" s="77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  <c r="AO600" s="86"/>
      <c r="AP600" s="86"/>
      <c r="AQ600" s="86"/>
      <c r="AR600" s="86"/>
      <c r="AS600" s="86"/>
      <c r="AT600" s="86"/>
      <c r="AU600" s="86"/>
      <c r="AV600" s="86"/>
      <c r="AW600" s="86"/>
      <c r="AX600" s="86"/>
      <c r="AY600" s="86"/>
      <c r="AZ600" s="86"/>
      <c r="BA600" s="86"/>
      <c r="BB600" s="86"/>
      <c r="BC600" s="86"/>
      <c r="BD600" s="86"/>
      <c r="BE600" s="86"/>
      <c r="BF600" s="86"/>
      <c r="BG600" s="86"/>
      <c r="BH600" s="86"/>
      <c r="BI600" s="86"/>
      <c r="BJ600" s="86"/>
      <c r="BK600" s="86"/>
      <c r="BL600" s="86"/>
      <c r="BM600" s="86"/>
      <c r="BN600" s="86"/>
      <c r="BO600" s="86"/>
      <c r="BP600" s="86"/>
      <c r="BQ600" s="86"/>
      <c r="BR600" s="86"/>
      <c r="BS600" s="86"/>
      <c r="BT600" s="86"/>
      <c r="BU600" s="86"/>
      <c r="BV600" s="86"/>
      <c r="BW600" s="109"/>
      <c r="BX600" s="109"/>
      <c r="BY600" s="109"/>
      <c r="BZ600" s="109"/>
      <c r="CA600" s="109"/>
      <c r="CB600" s="109"/>
      <c r="CC600" s="109"/>
      <c r="CD600" s="109"/>
      <c r="CE600" s="78"/>
      <c r="CF600" s="88"/>
    </row>
    <row r="601" spans="1:84" ht="15.75" x14ac:dyDescent="0.25">
      <c r="A601" s="99" t="s">
        <v>829</v>
      </c>
      <c r="B601" s="100" t="s">
        <v>831</v>
      </c>
      <c r="C601" s="90"/>
      <c r="D601" s="15" t="s">
        <v>832</v>
      </c>
      <c r="E601" s="150"/>
      <c r="F601" s="124" t="s">
        <v>13</v>
      </c>
      <c r="G601" s="124" t="s">
        <v>13</v>
      </c>
      <c r="H601" s="126" t="s">
        <v>353</v>
      </c>
      <c r="I601" s="136">
        <v>0</v>
      </c>
      <c r="J601" s="127" t="s">
        <v>95</v>
      </c>
      <c r="K601" s="18">
        <v>46522</v>
      </c>
      <c r="L601" s="18">
        <v>46583</v>
      </c>
      <c r="M601" s="76"/>
      <c r="N601" s="77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  <c r="AO601" s="86"/>
      <c r="AP601" s="86"/>
      <c r="AQ601" s="86"/>
      <c r="AR601" s="86"/>
      <c r="AS601" s="86"/>
      <c r="AT601" s="86"/>
      <c r="AU601" s="86"/>
      <c r="AV601" s="86"/>
      <c r="AW601" s="86"/>
      <c r="AX601" s="86"/>
      <c r="AY601" s="86"/>
      <c r="AZ601" s="86"/>
      <c r="BA601" s="86"/>
      <c r="BB601" s="86"/>
      <c r="BC601" s="86"/>
      <c r="BD601" s="86"/>
      <c r="BE601" s="86"/>
      <c r="BF601" s="86"/>
      <c r="BG601" s="86"/>
      <c r="BH601" s="86"/>
      <c r="BI601" s="86"/>
      <c r="BJ601" s="86"/>
      <c r="BK601" s="86"/>
      <c r="BL601" s="86"/>
      <c r="BM601" s="86"/>
      <c r="BN601" s="86"/>
      <c r="BO601" s="86"/>
      <c r="BP601" s="86"/>
      <c r="BQ601" s="86"/>
      <c r="BR601" s="86"/>
      <c r="BS601" s="86"/>
      <c r="BT601" s="86"/>
      <c r="BU601" s="86"/>
      <c r="BV601" s="86"/>
      <c r="BW601" s="87"/>
      <c r="BX601" s="87"/>
      <c r="BY601" s="87"/>
      <c r="BZ601" s="87"/>
      <c r="CA601" s="87"/>
      <c r="CB601" s="87"/>
      <c r="CC601" s="87"/>
      <c r="CD601" s="87"/>
      <c r="CE601" s="86"/>
      <c r="CF601" s="88"/>
    </row>
    <row r="602" spans="1:84" ht="15.75" x14ac:dyDescent="0.25">
      <c r="A602" s="99" t="s">
        <v>829</v>
      </c>
      <c r="B602" s="100" t="s">
        <v>833</v>
      </c>
      <c r="C602" s="90"/>
      <c r="D602" s="15" t="s">
        <v>834</v>
      </c>
      <c r="E602" s="150"/>
      <c r="F602" s="124" t="s">
        <v>13</v>
      </c>
      <c r="G602" s="124" t="s">
        <v>13</v>
      </c>
      <c r="H602" s="126" t="s">
        <v>353</v>
      </c>
      <c r="I602" s="136">
        <v>0</v>
      </c>
      <c r="J602" s="127" t="s">
        <v>95</v>
      </c>
      <c r="K602" s="18">
        <v>46522</v>
      </c>
      <c r="L602" s="18">
        <v>46583</v>
      </c>
      <c r="M602" s="76"/>
      <c r="N602" s="77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  <c r="AO602" s="86"/>
      <c r="AP602" s="86"/>
      <c r="AQ602" s="86"/>
      <c r="AR602" s="86"/>
      <c r="AS602" s="86"/>
      <c r="AT602" s="86"/>
      <c r="AU602" s="86"/>
      <c r="AV602" s="86"/>
      <c r="AW602" s="86"/>
      <c r="AX602" s="86"/>
      <c r="AY602" s="86"/>
      <c r="AZ602" s="86"/>
      <c r="BA602" s="86"/>
      <c r="BB602" s="86"/>
      <c r="BC602" s="86"/>
      <c r="BD602" s="86"/>
      <c r="BE602" s="86"/>
      <c r="BF602" s="86"/>
      <c r="BG602" s="86"/>
      <c r="BH602" s="86"/>
      <c r="BI602" s="86"/>
      <c r="BJ602" s="86"/>
      <c r="BK602" s="86"/>
      <c r="BL602" s="86"/>
      <c r="BM602" s="86"/>
      <c r="BN602" s="86"/>
      <c r="BO602" s="86"/>
      <c r="BP602" s="86"/>
      <c r="BQ602" s="86"/>
      <c r="BR602" s="86"/>
      <c r="BS602" s="86"/>
      <c r="BT602" s="86"/>
      <c r="BU602" s="86"/>
      <c r="BV602" s="86"/>
      <c r="BW602" s="87"/>
      <c r="BX602" s="87"/>
      <c r="BY602" s="87"/>
      <c r="BZ602" s="87"/>
      <c r="CA602" s="87"/>
      <c r="CB602" s="87"/>
      <c r="CC602" s="87"/>
      <c r="CD602" s="87"/>
      <c r="CE602" s="86"/>
      <c r="CF602" s="88"/>
    </row>
    <row r="603" spans="1:84" ht="15.75" x14ac:dyDescent="0.25">
      <c r="A603" s="99" t="s">
        <v>829</v>
      </c>
      <c r="B603" s="100" t="s">
        <v>835</v>
      </c>
      <c r="C603" s="90"/>
      <c r="D603" s="15" t="s">
        <v>836</v>
      </c>
      <c r="E603" s="150"/>
      <c r="F603" s="124" t="s">
        <v>13</v>
      </c>
      <c r="G603" s="124" t="s">
        <v>13</v>
      </c>
      <c r="H603" s="126" t="s">
        <v>353</v>
      </c>
      <c r="I603" s="136">
        <v>0</v>
      </c>
      <c r="J603" s="127" t="s">
        <v>95</v>
      </c>
      <c r="K603" s="18">
        <v>46539</v>
      </c>
      <c r="L603" s="18">
        <v>46583</v>
      </c>
      <c r="M603" s="76"/>
      <c r="N603" s="77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  <c r="AO603" s="86"/>
      <c r="AP603" s="86"/>
      <c r="AQ603" s="86"/>
      <c r="AR603" s="86"/>
      <c r="AS603" s="86"/>
      <c r="AT603" s="86"/>
      <c r="AU603" s="86"/>
      <c r="AV603" s="86"/>
      <c r="AW603" s="86"/>
      <c r="AX603" s="86"/>
      <c r="AY603" s="86"/>
      <c r="AZ603" s="86"/>
      <c r="BA603" s="86"/>
      <c r="BB603" s="86"/>
      <c r="BC603" s="86"/>
      <c r="BD603" s="86"/>
      <c r="BE603" s="86"/>
      <c r="BF603" s="86"/>
      <c r="BG603" s="86"/>
      <c r="BH603" s="86"/>
      <c r="BI603" s="86"/>
      <c r="BJ603" s="86"/>
      <c r="BK603" s="86"/>
      <c r="BL603" s="86"/>
      <c r="BM603" s="86"/>
      <c r="BN603" s="86"/>
      <c r="BO603" s="86"/>
      <c r="BP603" s="86"/>
      <c r="BQ603" s="86"/>
      <c r="BR603" s="86"/>
      <c r="BS603" s="86"/>
      <c r="BT603" s="86"/>
      <c r="BU603" s="86"/>
      <c r="BV603" s="86"/>
      <c r="BW603" s="86"/>
      <c r="BX603" s="86"/>
      <c r="BY603" s="87"/>
      <c r="BZ603" s="87"/>
      <c r="CA603" s="87"/>
      <c r="CB603" s="87"/>
      <c r="CC603" s="87"/>
      <c r="CD603" s="87"/>
      <c r="CE603" s="78"/>
      <c r="CF603" s="88"/>
    </row>
    <row r="604" spans="1:84" ht="15.75" x14ac:dyDescent="0.25">
      <c r="A604" s="99" t="s">
        <v>829</v>
      </c>
      <c r="B604" s="100" t="s">
        <v>837</v>
      </c>
      <c r="C604" s="90"/>
      <c r="D604" s="15" t="s">
        <v>838</v>
      </c>
      <c r="E604" s="150"/>
      <c r="F604" s="124" t="s">
        <v>13</v>
      </c>
      <c r="G604" s="124" t="s">
        <v>13</v>
      </c>
      <c r="H604" s="126" t="s">
        <v>353</v>
      </c>
      <c r="I604" s="136">
        <v>0</v>
      </c>
      <c r="J604" s="127" t="s">
        <v>95</v>
      </c>
      <c r="K604" s="18">
        <v>46553</v>
      </c>
      <c r="L604" s="18">
        <v>46583</v>
      </c>
      <c r="M604" s="76"/>
      <c r="N604" s="77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  <c r="AO604" s="86"/>
      <c r="AP604" s="86"/>
      <c r="AQ604" s="86"/>
      <c r="AR604" s="86"/>
      <c r="AS604" s="86"/>
      <c r="AT604" s="86"/>
      <c r="AU604" s="86"/>
      <c r="AV604" s="86"/>
      <c r="AW604" s="86"/>
      <c r="AX604" s="86"/>
      <c r="AY604" s="86"/>
      <c r="AZ604" s="86"/>
      <c r="BA604" s="86"/>
      <c r="BB604" s="86"/>
      <c r="BC604" s="86"/>
      <c r="BD604" s="86"/>
      <c r="BE604" s="86"/>
      <c r="BF604" s="86"/>
      <c r="BG604" s="86"/>
      <c r="BH604" s="86"/>
      <c r="BI604" s="86"/>
      <c r="BJ604" s="86"/>
      <c r="BK604" s="86"/>
      <c r="BL604" s="86"/>
      <c r="BM604" s="86"/>
      <c r="BN604" s="86"/>
      <c r="BO604" s="86"/>
      <c r="BP604" s="86"/>
      <c r="BQ604" s="86"/>
      <c r="BR604" s="86"/>
      <c r="BS604" s="86"/>
      <c r="BT604" s="86"/>
      <c r="BU604" s="86"/>
      <c r="BV604" s="86"/>
      <c r="BW604" s="86"/>
      <c r="BX604" s="86"/>
      <c r="BY604" s="86"/>
      <c r="BZ604" s="86"/>
      <c r="CA604" s="86"/>
      <c r="CB604" s="87"/>
      <c r="CC604" s="87"/>
      <c r="CD604" s="87"/>
      <c r="CE604" s="86"/>
      <c r="CF604" s="88"/>
    </row>
    <row r="605" spans="1:84" ht="15.75" x14ac:dyDescent="0.25">
      <c r="A605" s="99" t="s">
        <v>829</v>
      </c>
      <c r="B605" s="100" t="s">
        <v>839</v>
      </c>
      <c r="C605" s="90"/>
      <c r="D605" s="15" t="s">
        <v>840</v>
      </c>
      <c r="E605" s="150"/>
      <c r="F605" s="124" t="s">
        <v>13</v>
      </c>
      <c r="G605" s="124" t="s">
        <v>13</v>
      </c>
      <c r="H605" s="126" t="s">
        <v>353</v>
      </c>
      <c r="I605" s="136">
        <v>0</v>
      </c>
      <c r="J605" s="127" t="s">
        <v>95</v>
      </c>
      <c r="K605" s="18">
        <v>46553</v>
      </c>
      <c r="L605" s="18">
        <v>46583</v>
      </c>
      <c r="M605" s="76"/>
      <c r="N605" s="77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  <c r="AY605" s="78"/>
      <c r="AZ605" s="78"/>
      <c r="BA605" s="78"/>
      <c r="BB605" s="78"/>
      <c r="BC605" s="78"/>
      <c r="BD605" s="78"/>
      <c r="BE605" s="78"/>
      <c r="BF605" s="78"/>
      <c r="BG605" s="78"/>
      <c r="BH605" s="78"/>
      <c r="BI605" s="78"/>
      <c r="BJ605" s="78"/>
      <c r="BK605" s="78"/>
      <c r="BL605" s="78"/>
      <c r="BM605" s="78"/>
      <c r="BN605" s="78"/>
      <c r="BO605" s="78"/>
      <c r="BP605" s="78"/>
      <c r="BQ605" s="78"/>
      <c r="BR605" s="78"/>
      <c r="BS605" s="78"/>
      <c r="BT605" s="78"/>
      <c r="BU605" s="86"/>
      <c r="BV605" s="86"/>
      <c r="BW605" s="86"/>
      <c r="BX605" s="86"/>
      <c r="BY605" s="86"/>
      <c r="BZ605" s="86"/>
      <c r="CA605" s="86"/>
      <c r="CB605" s="87"/>
      <c r="CC605" s="87"/>
      <c r="CD605" s="87"/>
      <c r="CE605" s="86"/>
      <c r="CF605" s="88"/>
    </row>
    <row r="606" spans="1:84" ht="31.5" x14ac:dyDescent="0.25">
      <c r="A606" s="99" t="s">
        <v>829</v>
      </c>
      <c r="B606" s="100" t="s">
        <v>841</v>
      </c>
      <c r="C606" s="84"/>
      <c r="D606" s="15" t="s">
        <v>385</v>
      </c>
      <c r="E606" s="150"/>
      <c r="F606" s="124" t="s">
        <v>310</v>
      </c>
      <c r="G606" s="124" t="s">
        <v>13</v>
      </c>
      <c r="H606" s="126" t="s">
        <v>353</v>
      </c>
      <c r="I606" s="136">
        <v>0</v>
      </c>
      <c r="J606" s="127" t="s">
        <v>14</v>
      </c>
      <c r="K606" s="18">
        <v>46553</v>
      </c>
      <c r="L606" s="18">
        <v>46583</v>
      </c>
      <c r="M606" s="76"/>
      <c r="N606" s="77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  <c r="AO606" s="86"/>
      <c r="AP606" s="86"/>
      <c r="AQ606" s="86"/>
      <c r="AR606" s="86"/>
      <c r="AS606" s="86"/>
      <c r="AT606" s="86"/>
      <c r="AU606" s="86"/>
      <c r="AV606" s="86"/>
      <c r="AW606" s="86"/>
      <c r="AX606" s="86"/>
      <c r="AY606" s="86"/>
      <c r="AZ606" s="86"/>
      <c r="BA606" s="86"/>
      <c r="BB606" s="86"/>
      <c r="BC606" s="86"/>
      <c r="BD606" s="86"/>
      <c r="BE606" s="86"/>
      <c r="BF606" s="86"/>
      <c r="BG606" s="86"/>
      <c r="BH606" s="86"/>
      <c r="BI606" s="86"/>
      <c r="BJ606" s="86"/>
      <c r="BK606" s="86"/>
      <c r="BL606" s="86"/>
      <c r="BM606" s="86"/>
      <c r="BN606" s="86"/>
      <c r="BO606" s="86"/>
      <c r="BP606" s="86"/>
      <c r="BQ606" s="86"/>
      <c r="BR606" s="86"/>
      <c r="BS606" s="86"/>
      <c r="BT606" s="86"/>
      <c r="BU606" s="86"/>
      <c r="BV606" s="86"/>
      <c r="BW606" s="86"/>
      <c r="BX606" s="86"/>
      <c r="BY606" s="86"/>
      <c r="BZ606" s="86"/>
      <c r="CA606" s="86"/>
      <c r="CB606" s="87"/>
      <c r="CC606" s="87"/>
      <c r="CD606" s="87"/>
      <c r="CE606" s="78"/>
      <c r="CF606" s="88"/>
    </row>
    <row r="607" spans="1:84" ht="15.75" x14ac:dyDescent="0.25">
      <c r="A607" s="99" t="s">
        <v>829</v>
      </c>
      <c r="B607" s="100" t="s">
        <v>842</v>
      </c>
      <c r="C607" s="84"/>
      <c r="D607" s="43" t="s">
        <v>843</v>
      </c>
      <c r="E607" s="150"/>
      <c r="F607" s="124" t="s">
        <v>13</v>
      </c>
      <c r="G607" s="124" t="s">
        <v>13</v>
      </c>
      <c r="H607" s="126" t="s">
        <v>353</v>
      </c>
      <c r="I607" s="136">
        <v>0</v>
      </c>
      <c r="J607" s="127" t="s">
        <v>14</v>
      </c>
      <c r="K607" s="18">
        <v>46569</v>
      </c>
      <c r="L607" s="18">
        <v>46583</v>
      </c>
      <c r="M607" s="76"/>
      <c r="N607" s="77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  <c r="AO607" s="86"/>
      <c r="AP607" s="86"/>
      <c r="AQ607" s="86"/>
      <c r="AR607" s="86"/>
      <c r="AS607" s="86"/>
      <c r="AT607" s="86"/>
      <c r="AU607" s="86"/>
      <c r="AV607" s="86"/>
      <c r="AW607" s="86"/>
      <c r="AX607" s="86"/>
      <c r="AY607" s="86"/>
      <c r="AZ607" s="86"/>
      <c r="BA607" s="86"/>
      <c r="BB607" s="86"/>
      <c r="BC607" s="86"/>
      <c r="BD607" s="86"/>
      <c r="BE607" s="86"/>
      <c r="BF607" s="86"/>
      <c r="BG607" s="86"/>
      <c r="BH607" s="86"/>
      <c r="BI607" s="86"/>
      <c r="BJ607" s="86"/>
      <c r="BK607" s="86"/>
      <c r="BL607" s="86"/>
      <c r="BM607" s="86"/>
      <c r="BN607" s="86"/>
      <c r="BO607" s="86"/>
      <c r="BP607" s="86"/>
      <c r="BQ607" s="86"/>
      <c r="BR607" s="86"/>
      <c r="BS607" s="86"/>
      <c r="BT607" s="86"/>
      <c r="BU607" s="86"/>
      <c r="BV607" s="86"/>
      <c r="BW607" s="86"/>
      <c r="BX607" s="86"/>
      <c r="BY607" s="111"/>
      <c r="BZ607" s="111"/>
      <c r="CA607" s="111"/>
      <c r="CB607" s="111"/>
      <c r="CC607" s="111"/>
      <c r="CD607" s="112"/>
      <c r="CE607" s="86"/>
      <c r="CF607" s="88"/>
    </row>
    <row r="608" spans="1:84" ht="15.75" x14ac:dyDescent="0.25">
      <c r="A608" s="99" t="s">
        <v>844</v>
      </c>
      <c r="B608" s="13">
        <v>17</v>
      </c>
      <c r="C608" s="101"/>
      <c r="D608" s="37" t="s">
        <v>845</v>
      </c>
      <c r="E608" s="150"/>
      <c r="F608" s="124" t="s">
        <v>13</v>
      </c>
      <c r="G608" s="124" t="s">
        <v>13</v>
      </c>
      <c r="H608" s="129" t="s">
        <v>353</v>
      </c>
      <c r="I608" s="105"/>
      <c r="J608" s="128" t="s">
        <v>95</v>
      </c>
      <c r="K608" s="18">
        <v>46522</v>
      </c>
      <c r="L608" s="18">
        <v>46583</v>
      </c>
      <c r="M608" s="76"/>
      <c r="N608" s="77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  <c r="AY608" s="78"/>
      <c r="AZ608" s="78"/>
      <c r="BA608" s="78"/>
      <c r="BB608" s="78"/>
      <c r="BC608" s="78"/>
      <c r="BD608" s="78"/>
      <c r="BE608" s="78"/>
      <c r="BF608" s="78"/>
      <c r="BG608" s="78"/>
      <c r="BH608" s="78"/>
      <c r="BI608" s="78"/>
      <c r="BJ608" s="78"/>
      <c r="BK608" s="78"/>
      <c r="BL608" s="78"/>
      <c r="BM608" s="78"/>
      <c r="BN608" s="78"/>
      <c r="BO608" s="78"/>
      <c r="BP608" s="78"/>
      <c r="BQ608" s="78"/>
      <c r="BR608" s="78"/>
      <c r="BS608" s="78"/>
      <c r="BT608" s="78"/>
      <c r="BU608" s="78"/>
      <c r="BV608" s="78"/>
      <c r="BW608" s="109"/>
      <c r="BX608" s="109"/>
      <c r="BY608" s="109"/>
      <c r="BZ608" s="109"/>
      <c r="CA608" s="109"/>
      <c r="CB608" s="109"/>
      <c r="CC608" s="109"/>
      <c r="CD608" s="109"/>
      <c r="CE608" s="113"/>
      <c r="CF608" s="114"/>
    </row>
    <row r="609" spans="1:84" ht="15.75" x14ac:dyDescent="0.25">
      <c r="A609" s="99" t="s">
        <v>844</v>
      </c>
      <c r="B609" s="100" t="s">
        <v>846</v>
      </c>
      <c r="C609" s="90"/>
      <c r="D609" s="15" t="s">
        <v>847</v>
      </c>
      <c r="E609" s="150"/>
      <c r="F609" s="124" t="s">
        <v>13</v>
      </c>
      <c r="G609" s="124" t="s">
        <v>13</v>
      </c>
      <c r="H609" s="126" t="s">
        <v>353</v>
      </c>
      <c r="I609" s="136">
        <v>0</v>
      </c>
      <c r="J609" s="127" t="s">
        <v>79</v>
      </c>
      <c r="K609" s="18">
        <v>46522</v>
      </c>
      <c r="L609" s="18">
        <v>46553</v>
      </c>
      <c r="M609" s="76"/>
      <c r="N609" s="77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  <c r="AY609" s="78"/>
      <c r="AZ609" s="78"/>
      <c r="BA609" s="78"/>
      <c r="BB609" s="78"/>
      <c r="BC609" s="78"/>
      <c r="BD609" s="78"/>
      <c r="BE609" s="78"/>
      <c r="BF609" s="78"/>
      <c r="BG609" s="78"/>
      <c r="BH609" s="78"/>
      <c r="BI609" s="78"/>
      <c r="BJ609" s="78"/>
      <c r="BK609" s="78"/>
      <c r="BL609" s="78"/>
      <c r="BM609" s="78"/>
      <c r="BN609" s="78"/>
      <c r="BO609" s="78"/>
      <c r="BP609" s="78"/>
      <c r="BQ609" s="78"/>
      <c r="BR609" s="78"/>
      <c r="BS609" s="78"/>
      <c r="BT609" s="78"/>
      <c r="BU609" s="78"/>
      <c r="BV609" s="78"/>
      <c r="BW609" s="92"/>
      <c r="BX609" s="92"/>
      <c r="BY609" s="92"/>
      <c r="BZ609" s="78"/>
      <c r="CA609" s="78"/>
      <c r="CB609" s="78"/>
      <c r="CC609" s="78"/>
      <c r="CD609" s="78"/>
      <c r="CE609" s="78"/>
      <c r="CF609" s="80"/>
    </row>
    <row r="610" spans="1:84" ht="15.75" x14ac:dyDescent="0.25">
      <c r="A610" s="99" t="s">
        <v>844</v>
      </c>
      <c r="B610" s="100" t="s">
        <v>848</v>
      </c>
      <c r="C610" s="90"/>
      <c r="D610" s="15" t="s">
        <v>849</v>
      </c>
      <c r="E610" s="150"/>
      <c r="F610" s="124" t="s">
        <v>13</v>
      </c>
      <c r="G610" s="124" t="s">
        <v>13</v>
      </c>
      <c r="H610" s="126" t="s">
        <v>353</v>
      </c>
      <c r="I610" s="136">
        <v>0</v>
      </c>
      <c r="J610" s="127" t="s">
        <v>79</v>
      </c>
      <c r="K610" s="18">
        <v>46539</v>
      </c>
      <c r="L610" s="18">
        <v>46583</v>
      </c>
      <c r="M610" s="76"/>
      <c r="N610" s="77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  <c r="AY610" s="78"/>
      <c r="AZ610" s="78"/>
      <c r="BA610" s="78"/>
      <c r="BB610" s="78"/>
      <c r="BC610" s="78"/>
      <c r="BD610" s="78"/>
      <c r="BE610" s="78"/>
      <c r="BF610" s="78"/>
      <c r="BG610" s="78"/>
      <c r="BH610" s="78"/>
      <c r="BI610" s="78"/>
      <c r="BJ610" s="78"/>
      <c r="BK610" s="78"/>
      <c r="BL610" s="78"/>
      <c r="BM610" s="78"/>
      <c r="BN610" s="78"/>
      <c r="BO610" s="78"/>
      <c r="BP610" s="78"/>
      <c r="BQ610" s="78"/>
      <c r="BR610" s="78"/>
      <c r="BS610" s="78"/>
      <c r="BT610" s="78"/>
      <c r="BU610" s="78"/>
      <c r="BV610" s="78"/>
      <c r="BW610" s="78"/>
      <c r="BX610" s="78"/>
      <c r="BY610" s="78"/>
      <c r="BZ610" s="92"/>
      <c r="CA610" s="92"/>
      <c r="CB610" s="92"/>
      <c r="CC610" s="92"/>
      <c r="CD610" s="92"/>
      <c r="CE610" s="78"/>
      <c r="CF610" s="80"/>
    </row>
    <row r="611" spans="1:84" ht="15.75" x14ac:dyDescent="0.25">
      <c r="A611" s="99" t="s">
        <v>844</v>
      </c>
      <c r="B611" s="100" t="s">
        <v>850</v>
      </c>
      <c r="C611" s="90"/>
      <c r="D611" s="15" t="s">
        <v>851</v>
      </c>
      <c r="E611" s="150"/>
      <c r="F611" s="124" t="s">
        <v>13</v>
      </c>
      <c r="G611" s="124" t="s">
        <v>13</v>
      </c>
      <c r="H611" s="126" t="s">
        <v>353</v>
      </c>
      <c r="I611" s="136">
        <v>0</v>
      </c>
      <c r="J611" s="127" t="s">
        <v>79</v>
      </c>
      <c r="K611" s="18">
        <v>46539</v>
      </c>
      <c r="L611" s="18">
        <v>46583</v>
      </c>
      <c r="M611" s="76"/>
      <c r="N611" s="77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  <c r="AY611" s="78"/>
      <c r="AZ611" s="78"/>
      <c r="BA611" s="78"/>
      <c r="BB611" s="78"/>
      <c r="BC611" s="78"/>
      <c r="BD611" s="78"/>
      <c r="BE611" s="78"/>
      <c r="BF611" s="78"/>
      <c r="BG611" s="78"/>
      <c r="BH611" s="78"/>
      <c r="BI611" s="78"/>
      <c r="BJ611" s="78"/>
      <c r="BK611" s="78"/>
      <c r="BL611" s="78"/>
      <c r="BM611" s="78"/>
      <c r="BN611" s="78"/>
      <c r="BO611" s="78"/>
      <c r="BP611" s="78"/>
      <c r="BQ611" s="78"/>
      <c r="BR611" s="78"/>
      <c r="BS611" s="78"/>
      <c r="BT611" s="78"/>
      <c r="BU611" s="78"/>
      <c r="BV611" s="78"/>
      <c r="BW611" s="78"/>
      <c r="BX611" s="78"/>
      <c r="BY611" s="78"/>
      <c r="BZ611" s="92"/>
      <c r="CA611" s="92"/>
      <c r="CB611" s="92"/>
      <c r="CC611" s="92"/>
      <c r="CD611" s="92"/>
      <c r="CE611" s="78"/>
      <c r="CF611" s="80"/>
    </row>
    <row r="612" spans="1:84" ht="15.75" x14ac:dyDescent="0.25">
      <c r="A612" s="99" t="s">
        <v>844</v>
      </c>
      <c r="B612" s="100" t="s">
        <v>852</v>
      </c>
      <c r="C612" s="90"/>
      <c r="D612" s="15" t="s">
        <v>853</v>
      </c>
      <c r="E612" s="150"/>
      <c r="F612" s="124" t="s">
        <v>13</v>
      </c>
      <c r="G612" s="124" t="s">
        <v>13</v>
      </c>
      <c r="H612" s="126" t="s">
        <v>353</v>
      </c>
      <c r="I612" s="136">
        <v>0</v>
      </c>
      <c r="J612" s="127" t="s">
        <v>79</v>
      </c>
      <c r="K612" s="18">
        <v>46539</v>
      </c>
      <c r="L612" s="18">
        <v>46583</v>
      </c>
      <c r="M612" s="76"/>
      <c r="N612" s="77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  <c r="AY612" s="78"/>
      <c r="AZ612" s="78"/>
      <c r="BA612" s="78"/>
      <c r="BB612" s="78"/>
      <c r="BC612" s="78"/>
      <c r="BD612" s="78"/>
      <c r="BE612" s="78"/>
      <c r="BF612" s="78"/>
      <c r="BG612" s="78"/>
      <c r="BH612" s="78"/>
      <c r="BI612" s="78"/>
      <c r="BJ612" s="78"/>
      <c r="BK612" s="78"/>
      <c r="BL612" s="78"/>
      <c r="BM612" s="78"/>
      <c r="BN612" s="78"/>
      <c r="BO612" s="78"/>
      <c r="BP612" s="78"/>
      <c r="BQ612" s="78"/>
      <c r="BR612" s="78"/>
      <c r="BS612" s="78"/>
      <c r="BT612" s="78"/>
      <c r="BU612" s="78"/>
      <c r="BV612" s="78"/>
      <c r="BW612" s="78"/>
      <c r="BX612" s="78"/>
      <c r="BY612" s="78"/>
      <c r="BZ612" s="92"/>
      <c r="CA612" s="92"/>
      <c r="CB612" s="92"/>
      <c r="CC612" s="92"/>
      <c r="CD612" s="92"/>
      <c r="CE612" s="78"/>
      <c r="CF612" s="80"/>
    </row>
    <row r="613" spans="1:84" ht="15.75" x14ac:dyDescent="0.25">
      <c r="A613" s="99" t="s">
        <v>844</v>
      </c>
      <c r="B613" s="100" t="s">
        <v>854</v>
      </c>
      <c r="C613" s="90"/>
      <c r="D613" s="15" t="s">
        <v>855</v>
      </c>
      <c r="E613" s="150"/>
      <c r="F613" s="124" t="s">
        <v>13</v>
      </c>
      <c r="G613" s="124" t="s">
        <v>13</v>
      </c>
      <c r="H613" s="126" t="s">
        <v>353</v>
      </c>
      <c r="I613" s="136">
        <v>0</v>
      </c>
      <c r="J613" s="127" t="s">
        <v>79</v>
      </c>
      <c r="K613" s="18">
        <v>46539</v>
      </c>
      <c r="L613" s="18">
        <v>46583</v>
      </c>
      <c r="M613" s="76"/>
      <c r="N613" s="77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  <c r="AY613" s="78"/>
      <c r="AZ613" s="78"/>
      <c r="BA613" s="78"/>
      <c r="BB613" s="78"/>
      <c r="BC613" s="78"/>
      <c r="BD613" s="78"/>
      <c r="BE613" s="78"/>
      <c r="BF613" s="78"/>
      <c r="BG613" s="78"/>
      <c r="BH613" s="78"/>
      <c r="BI613" s="78"/>
      <c r="BJ613" s="78"/>
      <c r="BK613" s="78"/>
      <c r="BL613" s="78"/>
      <c r="BM613" s="78"/>
      <c r="BN613" s="78"/>
      <c r="BO613" s="78"/>
      <c r="BP613" s="78"/>
      <c r="BQ613" s="78"/>
      <c r="BR613" s="78"/>
      <c r="BS613" s="78"/>
      <c r="BT613" s="78"/>
      <c r="BU613" s="78"/>
      <c r="BV613" s="78"/>
      <c r="BW613" s="78"/>
      <c r="BX613" s="78"/>
      <c r="BY613" s="78"/>
      <c r="BZ613" s="92"/>
      <c r="CA613" s="92"/>
      <c r="CB613" s="92"/>
      <c r="CC613" s="92"/>
      <c r="CD613" s="92"/>
      <c r="CE613" s="78"/>
      <c r="CF613" s="80"/>
    </row>
    <row r="614" spans="1:84" ht="15.75" x14ac:dyDescent="0.25">
      <c r="A614" s="99" t="s">
        <v>844</v>
      </c>
      <c r="B614" s="100" t="s">
        <v>856</v>
      </c>
      <c r="C614" s="90"/>
      <c r="D614" s="15" t="s">
        <v>857</v>
      </c>
      <c r="E614" s="150"/>
      <c r="F614" s="124" t="s">
        <v>13</v>
      </c>
      <c r="G614" s="124" t="s">
        <v>13</v>
      </c>
      <c r="H614" s="126" t="s">
        <v>353</v>
      </c>
      <c r="I614" s="136">
        <v>0</v>
      </c>
      <c r="J614" s="127" t="s">
        <v>79</v>
      </c>
      <c r="K614" s="18">
        <v>46539</v>
      </c>
      <c r="L614" s="18">
        <v>46583</v>
      </c>
      <c r="M614" s="76"/>
      <c r="N614" s="77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  <c r="AY614" s="78"/>
      <c r="AZ614" s="78"/>
      <c r="BA614" s="78"/>
      <c r="BB614" s="78"/>
      <c r="BC614" s="78"/>
      <c r="BD614" s="78"/>
      <c r="BE614" s="78"/>
      <c r="BF614" s="78"/>
      <c r="BG614" s="78"/>
      <c r="BH614" s="78"/>
      <c r="BI614" s="78"/>
      <c r="BJ614" s="78"/>
      <c r="BK614" s="78"/>
      <c r="BL614" s="78"/>
      <c r="BM614" s="78"/>
      <c r="BN614" s="78"/>
      <c r="BO614" s="78"/>
      <c r="BP614" s="78"/>
      <c r="BQ614" s="78"/>
      <c r="BR614" s="78"/>
      <c r="BS614" s="78"/>
      <c r="BT614" s="78"/>
      <c r="BU614" s="78"/>
      <c r="BV614" s="78"/>
      <c r="BW614" s="78"/>
      <c r="BX614" s="78"/>
      <c r="BY614" s="78"/>
      <c r="BZ614" s="92"/>
      <c r="CA614" s="92"/>
      <c r="CB614" s="92"/>
      <c r="CC614" s="92"/>
      <c r="CD614" s="92"/>
      <c r="CE614" s="78"/>
      <c r="CF614" s="80"/>
    </row>
    <row r="615" spans="1:84" ht="15.75" x14ac:dyDescent="0.25">
      <c r="A615" s="99" t="s">
        <v>844</v>
      </c>
      <c r="B615" s="100" t="s">
        <v>858</v>
      </c>
      <c r="C615" s="90"/>
      <c r="D615" s="15" t="s">
        <v>859</v>
      </c>
      <c r="E615" s="150"/>
      <c r="F615" s="124" t="s">
        <v>13</v>
      </c>
      <c r="G615" s="124" t="s">
        <v>13</v>
      </c>
      <c r="H615" s="126" t="s">
        <v>353</v>
      </c>
      <c r="I615" s="136">
        <v>0</v>
      </c>
      <c r="J615" s="127" t="s">
        <v>79</v>
      </c>
      <c r="K615" s="18">
        <v>46539</v>
      </c>
      <c r="L615" s="18">
        <v>46583</v>
      </c>
      <c r="M615" s="76"/>
      <c r="N615" s="77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  <c r="AY615" s="78"/>
      <c r="AZ615" s="78"/>
      <c r="BA615" s="78"/>
      <c r="BB615" s="78"/>
      <c r="BC615" s="78"/>
      <c r="BD615" s="78"/>
      <c r="BE615" s="78"/>
      <c r="BF615" s="78"/>
      <c r="BG615" s="78"/>
      <c r="BH615" s="78"/>
      <c r="BI615" s="78"/>
      <c r="BJ615" s="78"/>
      <c r="BK615" s="78"/>
      <c r="BL615" s="78"/>
      <c r="BM615" s="78"/>
      <c r="BN615" s="78"/>
      <c r="BO615" s="78"/>
      <c r="BP615" s="78"/>
      <c r="BQ615" s="78"/>
      <c r="BR615" s="78"/>
      <c r="BS615" s="78"/>
      <c r="BT615" s="78"/>
      <c r="BU615" s="78"/>
      <c r="BV615" s="78"/>
      <c r="BW615" s="78"/>
      <c r="BX615" s="78"/>
      <c r="BY615" s="78"/>
      <c r="BZ615" s="92"/>
      <c r="CA615" s="92"/>
      <c r="CB615" s="92"/>
      <c r="CC615" s="92"/>
      <c r="CD615" s="92"/>
      <c r="CE615" s="78"/>
      <c r="CF615" s="80"/>
    </row>
    <row r="616" spans="1:84" ht="15.75" x14ac:dyDescent="0.25">
      <c r="A616" s="99" t="s">
        <v>844</v>
      </c>
      <c r="B616" s="100" t="s">
        <v>860</v>
      </c>
      <c r="C616" s="90"/>
      <c r="D616" s="15" t="s">
        <v>861</v>
      </c>
      <c r="E616" s="150"/>
      <c r="F616" s="124" t="s">
        <v>13</v>
      </c>
      <c r="G616" s="124" t="s">
        <v>13</v>
      </c>
      <c r="H616" s="126" t="s">
        <v>353</v>
      </c>
      <c r="I616" s="136">
        <v>0</v>
      </c>
      <c r="J616" s="127" t="s">
        <v>79</v>
      </c>
      <c r="K616" s="18">
        <v>46569</v>
      </c>
      <c r="L616" s="18">
        <v>46583</v>
      </c>
      <c r="M616" s="76"/>
      <c r="N616" s="77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  <c r="AY616" s="78"/>
      <c r="AZ616" s="78"/>
      <c r="BA616" s="78"/>
      <c r="BB616" s="78"/>
      <c r="BC616" s="78"/>
      <c r="BD616" s="78"/>
      <c r="BE616" s="78"/>
      <c r="BF616" s="78"/>
      <c r="BG616" s="78"/>
      <c r="BH616" s="78"/>
      <c r="BI616" s="78"/>
      <c r="BJ616" s="78"/>
      <c r="BK616" s="78"/>
      <c r="BL616" s="78"/>
      <c r="BM616" s="78"/>
      <c r="BN616" s="78"/>
      <c r="BO616" s="78"/>
      <c r="BP616" s="78"/>
      <c r="BQ616" s="78"/>
      <c r="BR616" s="78"/>
      <c r="BS616" s="78"/>
      <c r="BT616" s="78"/>
      <c r="BU616" s="78"/>
      <c r="BV616" s="78"/>
      <c r="BW616" s="78"/>
      <c r="BX616" s="78"/>
      <c r="BY616" s="78"/>
      <c r="BZ616" s="78"/>
      <c r="CA616" s="78"/>
      <c r="CB616" s="78"/>
      <c r="CC616" s="92"/>
      <c r="CD616" s="92"/>
      <c r="CE616" s="78"/>
      <c r="CF616" s="80"/>
    </row>
    <row r="617" spans="1:84" ht="31.5" x14ac:dyDescent="0.25">
      <c r="A617" s="99" t="s">
        <v>844</v>
      </c>
      <c r="B617" s="100" t="s">
        <v>862</v>
      </c>
      <c r="C617" s="84"/>
      <c r="D617" s="15" t="s">
        <v>385</v>
      </c>
      <c r="E617" s="150"/>
      <c r="F617" s="124" t="s">
        <v>310</v>
      </c>
      <c r="G617" s="124" t="s">
        <v>13</v>
      </c>
      <c r="H617" s="126" t="s">
        <v>353</v>
      </c>
      <c r="I617" s="136">
        <v>0</v>
      </c>
      <c r="J617" s="127" t="s">
        <v>14</v>
      </c>
      <c r="K617" s="18">
        <v>46569</v>
      </c>
      <c r="L617" s="18">
        <v>46583</v>
      </c>
      <c r="M617" s="76"/>
      <c r="N617" s="77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  <c r="AO617" s="86"/>
      <c r="AP617" s="86"/>
      <c r="AQ617" s="86"/>
      <c r="AR617" s="86"/>
      <c r="AS617" s="86"/>
      <c r="AT617" s="86"/>
      <c r="AU617" s="86"/>
      <c r="AV617" s="86"/>
      <c r="AW617" s="86"/>
      <c r="AX617" s="86"/>
      <c r="AY617" s="86"/>
      <c r="AZ617" s="86"/>
      <c r="BA617" s="86"/>
      <c r="BB617" s="86"/>
      <c r="BC617" s="86"/>
      <c r="BD617" s="86"/>
      <c r="BE617" s="86"/>
      <c r="BF617" s="86"/>
      <c r="BG617" s="86"/>
      <c r="BH617" s="86"/>
      <c r="BI617" s="86"/>
      <c r="BJ617" s="86"/>
      <c r="BK617" s="86"/>
      <c r="BL617" s="86"/>
      <c r="BM617" s="86"/>
      <c r="BN617" s="86"/>
      <c r="BO617" s="86"/>
      <c r="BP617" s="86"/>
      <c r="BQ617" s="86"/>
      <c r="BR617" s="86"/>
      <c r="BS617" s="86"/>
      <c r="BT617" s="86"/>
      <c r="BU617" s="86"/>
      <c r="BV617" s="86"/>
      <c r="BW617" s="86"/>
      <c r="BX617" s="86"/>
      <c r="BY617" s="86"/>
      <c r="BZ617" s="86"/>
      <c r="CA617" s="86"/>
      <c r="CB617" s="86"/>
      <c r="CC617" s="87"/>
      <c r="CD617" s="87"/>
      <c r="CE617" s="86"/>
      <c r="CF617" s="88"/>
    </row>
    <row r="618" spans="1:84" ht="15.75" x14ac:dyDescent="0.25">
      <c r="A618" s="99" t="s">
        <v>844</v>
      </c>
      <c r="B618" s="100" t="s">
        <v>863</v>
      </c>
      <c r="C618" s="84"/>
      <c r="D618" s="15" t="s">
        <v>387</v>
      </c>
      <c r="E618" s="150"/>
      <c r="F618" s="124" t="s">
        <v>274</v>
      </c>
      <c r="G618" s="124" t="s">
        <v>13</v>
      </c>
      <c r="H618" s="126" t="s">
        <v>353</v>
      </c>
      <c r="I618" s="136">
        <v>0</v>
      </c>
      <c r="J618" s="127" t="s">
        <v>14</v>
      </c>
      <c r="K618" s="18">
        <v>46569</v>
      </c>
      <c r="L618" s="18">
        <v>46583</v>
      </c>
      <c r="M618" s="76"/>
      <c r="N618" s="77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  <c r="AO618" s="86"/>
      <c r="AP618" s="86"/>
      <c r="AQ618" s="86"/>
      <c r="AR618" s="86"/>
      <c r="AS618" s="86"/>
      <c r="AT618" s="86"/>
      <c r="AU618" s="86"/>
      <c r="AV618" s="86"/>
      <c r="AW618" s="86"/>
      <c r="AX618" s="86"/>
      <c r="AY618" s="86"/>
      <c r="AZ618" s="86"/>
      <c r="BA618" s="86"/>
      <c r="BB618" s="86"/>
      <c r="BC618" s="86"/>
      <c r="BD618" s="86"/>
      <c r="BE618" s="86"/>
      <c r="BF618" s="86"/>
      <c r="BG618" s="86"/>
      <c r="BH618" s="86"/>
      <c r="BI618" s="86"/>
      <c r="BJ618" s="86"/>
      <c r="BK618" s="86"/>
      <c r="BL618" s="86"/>
      <c r="BM618" s="86"/>
      <c r="BN618" s="86"/>
      <c r="BO618" s="86"/>
      <c r="BP618" s="86"/>
      <c r="BQ618" s="86"/>
      <c r="BR618" s="86"/>
      <c r="BS618" s="86"/>
      <c r="BT618" s="86"/>
      <c r="BU618" s="86"/>
      <c r="BV618" s="86"/>
      <c r="BW618" s="86"/>
      <c r="BX618" s="86"/>
      <c r="BY618" s="86"/>
      <c r="BZ618" s="86"/>
      <c r="CA618" s="86"/>
      <c r="CB618" s="86"/>
      <c r="CC618" s="87"/>
      <c r="CD618" s="87"/>
      <c r="CE618" s="86"/>
      <c r="CF618" s="88"/>
    </row>
    <row r="619" spans="1:84" ht="47.25" x14ac:dyDescent="0.25">
      <c r="A619" s="99" t="s">
        <v>844</v>
      </c>
      <c r="B619" s="13" t="s">
        <v>864</v>
      </c>
      <c r="C619" s="84"/>
      <c r="D619" s="43" t="s">
        <v>865</v>
      </c>
      <c r="E619" s="150"/>
      <c r="F619" s="124" t="s">
        <v>13</v>
      </c>
      <c r="G619" s="124" t="s">
        <v>866</v>
      </c>
      <c r="H619" s="126" t="s">
        <v>353</v>
      </c>
      <c r="I619" s="136">
        <v>0</v>
      </c>
      <c r="J619" s="127" t="s">
        <v>14</v>
      </c>
      <c r="K619" s="18">
        <v>46569</v>
      </c>
      <c r="L619" s="18">
        <v>46583</v>
      </c>
      <c r="M619" s="76"/>
      <c r="N619" s="77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  <c r="AO619" s="86"/>
      <c r="AP619" s="86"/>
      <c r="AQ619" s="86"/>
      <c r="AR619" s="86"/>
      <c r="AS619" s="86"/>
      <c r="AT619" s="86"/>
      <c r="AU619" s="86"/>
      <c r="AV619" s="86"/>
      <c r="AW619" s="86"/>
      <c r="AX619" s="86"/>
      <c r="AY619" s="86"/>
      <c r="AZ619" s="86"/>
      <c r="BA619" s="86"/>
      <c r="BB619" s="86"/>
      <c r="BC619" s="86"/>
      <c r="BD619" s="86"/>
      <c r="BE619" s="86"/>
      <c r="BF619" s="86"/>
      <c r="BG619" s="86"/>
      <c r="BH619" s="86"/>
      <c r="BI619" s="86"/>
      <c r="BJ619" s="86"/>
      <c r="BK619" s="86"/>
      <c r="BL619" s="86"/>
      <c r="BM619" s="86"/>
      <c r="BN619" s="86"/>
      <c r="BO619" s="86"/>
      <c r="BP619" s="86"/>
      <c r="BQ619" s="86"/>
      <c r="BR619" s="86"/>
      <c r="BS619" s="86"/>
      <c r="BT619" s="86"/>
      <c r="BU619" s="86"/>
      <c r="BV619" s="86"/>
      <c r="BW619" s="86"/>
      <c r="BX619" s="86"/>
      <c r="BY619" s="86"/>
      <c r="BZ619" s="86"/>
      <c r="CA619" s="86"/>
      <c r="CB619" s="86"/>
      <c r="CC619" s="86"/>
      <c r="CD619" s="89"/>
      <c r="CE619" s="86"/>
      <c r="CF619" s="88"/>
    </row>
    <row r="620" spans="1:84" ht="15.75" x14ac:dyDescent="0.25">
      <c r="A620" s="99" t="s">
        <v>867</v>
      </c>
      <c r="B620" s="13">
        <v>18</v>
      </c>
      <c r="C620" s="101"/>
      <c r="D620" s="37" t="s">
        <v>868</v>
      </c>
      <c r="E620" s="150"/>
      <c r="F620" s="130"/>
      <c r="G620" s="124" t="s">
        <v>13</v>
      </c>
      <c r="H620" s="129" t="s">
        <v>353</v>
      </c>
      <c r="I620" s="105"/>
      <c r="J620" s="128" t="s">
        <v>14</v>
      </c>
      <c r="K620" s="18">
        <v>46583</v>
      </c>
      <c r="L620" s="18">
        <v>46599</v>
      </c>
      <c r="M620" s="76"/>
      <c r="N620" s="77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  <c r="AY620" s="78"/>
      <c r="AZ620" s="78"/>
      <c r="BA620" s="78"/>
      <c r="BB620" s="78"/>
      <c r="BC620" s="78"/>
      <c r="BD620" s="78"/>
      <c r="BE620" s="78"/>
      <c r="BF620" s="78"/>
      <c r="BG620" s="78"/>
      <c r="BH620" s="78"/>
      <c r="BI620" s="78"/>
      <c r="BJ620" s="78"/>
      <c r="BK620" s="78"/>
      <c r="BL620" s="78"/>
      <c r="BM620" s="78"/>
      <c r="BN620" s="78"/>
      <c r="BO620" s="78"/>
      <c r="BP620" s="78"/>
      <c r="BQ620" s="78"/>
      <c r="BR620" s="78"/>
      <c r="BS620" s="78"/>
      <c r="BT620" s="78"/>
      <c r="BU620" s="78"/>
      <c r="BV620" s="78"/>
      <c r="BW620" s="78"/>
      <c r="BX620" s="78"/>
      <c r="BY620" s="78"/>
      <c r="BZ620" s="78"/>
      <c r="CA620" s="78"/>
      <c r="CB620" s="78"/>
      <c r="CC620" s="78"/>
      <c r="CD620" s="78"/>
      <c r="CE620" s="104"/>
      <c r="CF620" s="115"/>
    </row>
    <row r="621" spans="1:84" ht="31.5" x14ac:dyDescent="0.25">
      <c r="A621" s="99" t="s">
        <v>867</v>
      </c>
      <c r="B621" s="100" t="s">
        <v>869</v>
      </c>
      <c r="C621" s="84"/>
      <c r="D621" s="15" t="s">
        <v>385</v>
      </c>
      <c r="E621" s="150"/>
      <c r="F621" s="124" t="s">
        <v>310</v>
      </c>
      <c r="G621" s="124" t="s">
        <v>13</v>
      </c>
      <c r="H621" s="126" t="s">
        <v>353</v>
      </c>
      <c r="I621" s="136">
        <v>0</v>
      </c>
      <c r="J621" s="127" t="s">
        <v>14</v>
      </c>
      <c r="K621" s="18">
        <v>46583</v>
      </c>
      <c r="L621" s="18">
        <v>46599</v>
      </c>
      <c r="M621" s="76"/>
      <c r="N621" s="77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  <c r="AO621" s="86"/>
      <c r="AP621" s="86"/>
      <c r="AQ621" s="86"/>
      <c r="AR621" s="86"/>
      <c r="AS621" s="86"/>
      <c r="AT621" s="86"/>
      <c r="AU621" s="86"/>
      <c r="AV621" s="86"/>
      <c r="AW621" s="86"/>
      <c r="AX621" s="86"/>
      <c r="AY621" s="86"/>
      <c r="AZ621" s="86"/>
      <c r="BA621" s="86"/>
      <c r="BB621" s="86"/>
      <c r="BC621" s="86"/>
      <c r="BD621" s="86"/>
      <c r="BE621" s="86"/>
      <c r="BF621" s="86"/>
      <c r="BG621" s="86"/>
      <c r="BH621" s="86"/>
      <c r="BI621" s="86"/>
      <c r="BJ621" s="86"/>
      <c r="BK621" s="86"/>
      <c r="BL621" s="86"/>
      <c r="BM621" s="86"/>
      <c r="BN621" s="86"/>
      <c r="BO621" s="86"/>
      <c r="BP621" s="86"/>
      <c r="BQ621" s="86"/>
      <c r="BR621" s="86"/>
      <c r="BS621" s="86"/>
      <c r="BT621" s="86"/>
      <c r="BU621" s="86"/>
      <c r="BV621" s="86"/>
      <c r="BW621" s="86"/>
      <c r="BX621" s="86"/>
      <c r="BY621" s="86"/>
      <c r="BZ621" s="86"/>
      <c r="CA621" s="86"/>
      <c r="CB621" s="86"/>
      <c r="CC621" s="86"/>
      <c r="CD621" s="86"/>
      <c r="CE621" s="87"/>
      <c r="CF621" s="116"/>
    </row>
    <row r="622" spans="1:84" ht="15.75" x14ac:dyDescent="0.25">
      <c r="A622" s="99" t="s">
        <v>867</v>
      </c>
      <c r="B622" s="100" t="s">
        <v>870</v>
      </c>
      <c r="C622" s="84"/>
      <c r="D622" s="15" t="s">
        <v>387</v>
      </c>
      <c r="E622" s="150"/>
      <c r="F622" s="124" t="s">
        <v>274</v>
      </c>
      <c r="G622" s="124" t="s">
        <v>13</v>
      </c>
      <c r="H622" s="126" t="s">
        <v>353</v>
      </c>
      <c r="I622" s="136">
        <v>0</v>
      </c>
      <c r="J622" s="127" t="s">
        <v>14</v>
      </c>
      <c r="K622" s="18">
        <v>46583</v>
      </c>
      <c r="L622" s="18">
        <v>46599</v>
      </c>
      <c r="M622" s="76"/>
      <c r="N622" s="77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  <c r="AO622" s="86"/>
      <c r="AP622" s="86"/>
      <c r="AQ622" s="86"/>
      <c r="AR622" s="86"/>
      <c r="AS622" s="86"/>
      <c r="AT622" s="86"/>
      <c r="AU622" s="86"/>
      <c r="AV622" s="86"/>
      <c r="AW622" s="86"/>
      <c r="AX622" s="86"/>
      <c r="AY622" s="86"/>
      <c r="AZ622" s="86"/>
      <c r="BA622" s="86"/>
      <c r="BB622" s="86"/>
      <c r="BC622" s="86"/>
      <c r="BD622" s="86"/>
      <c r="BE622" s="86"/>
      <c r="BF622" s="86"/>
      <c r="BG622" s="86"/>
      <c r="BH622" s="86"/>
      <c r="BI622" s="86"/>
      <c r="BJ622" s="86"/>
      <c r="BK622" s="86"/>
      <c r="BL622" s="86"/>
      <c r="BM622" s="86"/>
      <c r="BN622" s="86"/>
      <c r="BO622" s="86"/>
      <c r="BP622" s="86"/>
      <c r="BQ622" s="86"/>
      <c r="BR622" s="86"/>
      <c r="BS622" s="86"/>
      <c r="BT622" s="86"/>
      <c r="BU622" s="86"/>
      <c r="BV622" s="86"/>
      <c r="BW622" s="86"/>
      <c r="BX622" s="86"/>
      <c r="BY622" s="86"/>
      <c r="BZ622" s="86"/>
      <c r="CA622" s="86"/>
      <c r="CB622" s="86"/>
      <c r="CC622" s="86"/>
      <c r="CD622" s="86"/>
      <c r="CE622" s="87"/>
      <c r="CF622" s="116"/>
    </row>
    <row r="623" spans="1:84" ht="15.75" x14ac:dyDescent="0.25">
      <c r="A623" s="99" t="s">
        <v>867</v>
      </c>
      <c r="B623" s="100" t="s">
        <v>871</v>
      </c>
      <c r="C623" s="84"/>
      <c r="D623" s="15" t="s">
        <v>872</v>
      </c>
      <c r="E623" s="150"/>
      <c r="F623" s="124" t="s">
        <v>13</v>
      </c>
      <c r="G623" s="124" t="s">
        <v>13</v>
      </c>
      <c r="H623" s="126" t="s">
        <v>353</v>
      </c>
      <c r="I623" s="136">
        <v>0</v>
      </c>
      <c r="J623" s="127" t="s">
        <v>14</v>
      </c>
      <c r="K623" s="18">
        <v>46583</v>
      </c>
      <c r="L623" s="18">
        <v>46599</v>
      </c>
      <c r="M623" s="76"/>
      <c r="N623" s="77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  <c r="AO623" s="86"/>
      <c r="AP623" s="86"/>
      <c r="AQ623" s="86"/>
      <c r="AR623" s="86"/>
      <c r="AS623" s="86"/>
      <c r="AT623" s="86"/>
      <c r="AU623" s="86"/>
      <c r="AV623" s="86"/>
      <c r="AW623" s="86"/>
      <c r="AX623" s="86"/>
      <c r="AY623" s="86"/>
      <c r="AZ623" s="86"/>
      <c r="BA623" s="86"/>
      <c r="BB623" s="86"/>
      <c r="BC623" s="86"/>
      <c r="BD623" s="86"/>
      <c r="BE623" s="86"/>
      <c r="BF623" s="86"/>
      <c r="BG623" s="86"/>
      <c r="BH623" s="86"/>
      <c r="BI623" s="86"/>
      <c r="BJ623" s="86"/>
      <c r="BK623" s="86"/>
      <c r="BL623" s="86"/>
      <c r="BM623" s="86"/>
      <c r="BN623" s="86"/>
      <c r="BO623" s="86"/>
      <c r="BP623" s="86"/>
      <c r="BQ623" s="86"/>
      <c r="BR623" s="86"/>
      <c r="BS623" s="86"/>
      <c r="BT623" s="86"/>
      <c r="BU623" s="86"/>
      <c r="BV623" s="86"/>
      <c r="BW623" s="86"/>
      <c r="BX623" s="86"/>
      <c r="BY623" s="86"/>
      <c r="BZ623" s="86"/>
      <c r="CA623" s="86"/>
      <c r="CB623" s="86"/>
      <c r="CC623" s="86"/>
      <c r="CD623" s="86"/>
      <c r="CE623" s="87"/>
      <c r="CF623" s="116"/>
    </row>
    <row r="624" spans="1:84" ht="63.75" thickBot="1" x14ac:dyDescent="0.3">
      <c r="A624" s="99" t="s">
        <v>867</v>
      </c>
      <c r="B624" s="117" t="s">
        <v>873</v>
      </c>
      <c r="C624" s="118"/>
      <c r="D624" s="119" t="s">
        <v>874</v>
      </c>
      <c r="E624" s="150"/>
      <c r="F624" s="131" t="s">
        <v>13</v>
      </c>
      <c r="G624" s="131" t="s">
        <v>875</v>
      </c>
      <c r="H624" s="132" t="s">
        <v>353</v>
      </c>
      <c r="I624" s="136">
        <v>0</v>
      </c>
      <c r="J624" s="127" t="s">
        <v>14</v>
      </c>
      <c r="K624" s="133">
        <v>46583</v>
      </c>
      <c r="L624" s="18">
        <v>46599</v>
      </c>
      <c r="M624" s="120"/>
      <c r="N624" s="121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  <c r="AE624" s="122"/>
      <c r="AF624" s="122"/>
      <c r="AG624" s="122"/>
      <c r="AH624" s="122"/>
      <c r="AI624" s="122"/>
      <c r="AJ624" s="122"/>
      <c r="AK624" s="122"/>
      <c r="AL624" s="122"/>
      <c r="AM624" s="122"/>
      <c r="AN624" s="122"/>
      <c r="AO624" s="122"/>
      <c r="AP624" s="122"/>
      <c r="AQ624" s="122"/>
      <c r="AR624" s="122"/>
      <c r="AS624" s="122"/>
      <c r="AT624" s="122"/>
      <c r="AU624" s="122"/>
      <c r="AV624" s="122"/>
      <c r="AW624" s="122"/>
      <c r="AX624" s="122"/>
      <c r="AY624" s="122"/>
      <c r="AZ624" s="122"/>
      <c r="BA624" s="122"/>
      <c r="BB624" s="122"/>
      <c r="BC624" s="122"/>
      <c r="BD624" s="122"/>
      <c r="BE624" s="122"/>
      <c r="BF624" s="122"/>
      <c r="BG624" s="122"/>
      <c r="BH624" s="122"/>
      <c r="BI624" s="122"/>
      <c r="BJ624" s="122"/>
      <c r="BK624" s="122"/>
      <c r="BL624" s="122"/>
      <c r="BM624" s="122"/>
      <c r="BN624" s="122"/>
      <c r="BO624" s="122"/>
      <c r="BP624" s="122"/>
      <c r="BQ624" s="122"/>
      <c r="BR624" s="122"/>
      <c r="BS624" s="122"/>
      <c r="BT624" s="122"/>
      <c r="BU624" s="122"/>
      <c r="BV624" s="122"/>
      <c r="BW624" s="122"/>
      <c r="BX624" s="122"/>
      <c r="BY624" s="122"/>
      <c r="BZ624" s="122"/>
      <c r="CA624" s="122"/>
      <c r="CB624" s="122"/>
      <c r="CC624" s="122"/>
      <c r="CD624" s="122"/>
      <c r="CE624" s="122"/>
      <c r="CF624" s="123"/>
    </row>
  </sheetData>
  <autoFilter ref="A1:CF624" xr:uid="{1E6AC323-FC21-42A1-BD50-A1C303B44C25}"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20" showButton="0"/>
    <filterColumn colId="21" showButton="0"/>
    <filterColumn colId="22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  <filterColumn colId="32" showButton="0"/>
    <filterColumn colId="33" showButton="0"/>
    <filterColumn colId="34" showButton="0"/>
    <filterColumn colId="36" showButton="0"/>
    <filterColumn colId="37" showButton="0"/>
    <filterColumn colId="38" showButton="0"/>
    <filterColumn colId="40" showButton="0"/>
    <filterColumn colId="41" showButton="0"/>
    <filterColumn colId="42" showButton="0"/>
    <filterColumn colId="44" showButton="0"/>
    <filterColumn colId="45" showButton="0"/>
    <filterColumn colId="46" showButton="0"/>
    <filterColumn colId="48" showButton="0"/>
    <filterColumn colId="49" showButton="0"/>
    <filterColumn colId="50" showButton="0"/>
    <filterColumn colId="52" showButton="0"/>
    <filterColumn colId="53" showButton="0"/>
    <filterColumn colId="54" showButton="0"/>
    <filterColumn colId="56" showButton="0"/>
    <filterColumn colId="57" showButton="0"/>
    <filterColumn colId="58" showButton="0"/>
    <filterColumn colId="60" showButton="0"/>
    <filterColumn colId="61" showButton="0"/>
    <filterColumn colId="62" showButton="0"/>
    <filterColumn colId="64" showButton="0"/>
    <filterColumn colId="65" showButton="0"/>
    <filterColumn colId="66" showButton="0"/>
    <filterColumn colId="68" showButton="0"/>
    <filterColumn colId="69" showButton="0"/>
    <filterColumn colId="70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80" showButton="0"/>
    <filterColumn colId="81" showButton="0"/>
    <filterColumn colId="82" showButton="0"/>
  </autoFilter>
  <mergeCells count="18">
    <mergeCell ref="CC1:CF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AG1:AJ1"/>
    <mergeCell ref="M1:P1"/>
    <mergeCell ref="Q1:T1"/>
    <mergeCell ref="U1:X1"/>
    <mergeCell ref="Y1:AB1"/>
    <mergeCell ref="AC1:AF1"/>
  </mergeCells>
  <phoneticPr fontId="19" type="noConversion"/>
  <conditionalFormatting sqref="H1:I624">
    <cfRule type="containsText" dxfId="3" priority="2" operator="containsText" text="En Proceso">
      <formula>NOT(ISERROR(SEARCH("En Proceso",H1)))</formula>
    </cfRule>
    <cfRule type="containsText" dxfId="2" priority="3" operator="containsText" text="No Iniciado">
      <formula>NOT(ISERROR(SEARCH("No Iniciado",H1)))</formula>
    </cfRule>
    <cfRule type="containsText" dxfId="1" priority="4" operator="containsText" text="Finalizado">
      <formula>NOT(ISERROR(SEARCH("Finalizado",H1)))</formula>
    </cfRule>
    <cfRule type="containsText" dxfId="0" priority="5" operator="containsText" text="Pendiente">
      <formula>NOT(ISERROR(SEARCH("Pendiente",H1)))</formula>
    </cfRule>
  </conditionalFormatting>
  <conditionalFormatting sqref="I1:I1048576">
    <cfRule type="dataBar" priority="1">
      <dataBar>
        <cfvo type="min"/>
        <cfvo type="max"/>
        <color theme="2" tint="-0.249977111117893"/>
      </dataBar>
      <extLst>
        <ext xmlns:x14="http://schemas.microsoft.com/office/spreadsheetml/2009/9/main" uri="{B025F937-C7B1-47D3-B67F-A62EFF666E3E}">
          <x14:id>{1CFA477C-324A-4B27-B3A2-8664A7813C8E}</x14:id>
        </ext>
      </extLst>
    </cfRule>
  </conditionalFormatting>
  <hyperlinks>
    <hyperlink ref="G77" display="IBK_OFSA_ArquitecturaTecnica_Disenio_v1.3.drawio" xr:uid="{00000000-0004-0000-0100-000000000000}"/>
    <hyperlink ref="G155" r:id="rId1" xr:uid="{00000000-0004-0000-0100-000001000000}"/>
    <hyperlink ref="G66" r:id="rId2" xr:uid="{00000000-0004-0000-0100-000002000000}"/>
    <hyperlink ref="C227" location="Sheet3!B5" display="1.1.2" xr:uid="{9D21EB8C-0EB8-429F-9D81-35527369E7FB}"/>
    <hyperlink ref="C228:C235" location="Sheet3!B5" display="1.1.2" xr:uid="{3B90E507-36C2-4C5B-A9B7-72FDF204470D}"/>
    <hyperlink ref="C267:C274" location="Sheet3!B5" display="1.1.2" xr:uid="{B5722EAE-E750-46DE-A99E-E34469A75A9A}"/>
    <hyperlink ref="C315:C333" location="Sheet3!B5" display="1.1.2" xr:uid="{5984D375-917C-4F6C-A632-ED48CBE71C57}"/>
  </hyperlinks>
  <pageMargins left="0.7" right="0.7" top="0.75" bottom="0.75" header="0.3" footer="0.3"/>
  <pageSetup orientation="portrait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FA477C-324A-4B27-B3A2-8664A7813C8E}">
            <x14:dataBar minLength="0" maxLength="100" border="1" direction="leftToRight">
              <x14:cfvo type="autoMin"/>
              <x14:cfvo type="autoMax"/>
              <x14:borderColor theme="0"/>
              <x14:negativeFill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0CAF-4B71-4993-984C-D98F6684A99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Sheet3</vt:lpstr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Fabrizzio Raul Palomino Prado</dc:creator>
  <cp:keywords/>
  <dc:description/>
  <cp:lastModifiedBy>MANAGEMENT SOLUTIONS.Palomino Prado, Fabrizzio Raul</cp:lastModifiedBy>
  <dcterms:created xsi:type="dcterms:W3CDTF">2026-07-17T18:17:05Z</dcterms:created>
  <dcterms:modified xsi:type="dcterms:W3CDTF">2026-07-30T23:34:53Z</dcterms:modified>
  <cp:category/>
</cp:coreProperties>
</file>